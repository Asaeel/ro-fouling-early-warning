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satri\Dropbox\A1 Feli PhD Research\Commissioning  paper\MS\MS-Rev1\"/>
    </mc:Choice>
  </mc:AlternateContent>
  <xr:revisionPtr revIDLastSave="0" documentId="8_{F11C9F46-4D1B-4581-A919-5E6FC07D9351}" xr6:coauthVersionLast="47" xr6:coauthVersionMax="47" xr10:uidLastSave="{00000000-0000-0000-0000-000000000000}"/>
  <bookViews>
    <workbookView xWindow="-108" yWindow="-108" windowWidth="23256" windowHeight="12456" xr2:uid="{E4675C61-62B8-4A52-85FB-A116877A2C15}"/>
  </bookViews>
  <sheets>
    <sheet name="README" sheetId="2" r:id="rId1"/>
    <sheet name="Sheet1" sheetId="1" r:id="rId2"/>
  </sheets>
  <externalReferences>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542" i="1" l="1"/>
  <c r="F542" i="1"/>
  <c r="G541" i="1"/>
  <c r="F541" i="1"/>
  <c r="G540" i="1"/>
  <c r="F540" i="1"/>
  <c r="G539" i="1"/>
  <c r="F539" i="1"/>
  <c r="G538" i="1"/>
  <c r="F538" i="1"/>
  <c r="G537" i="1"/>
  <c r="F537" i="1"/>
  <c r="G536" i="1"/>
  <c r="F536" i="1"/>
  <c r="G535" i="1"/>
  <c r="F535" i="1"/>
  <c r="G534" i="1"/>
  <c r="F534" i="1"/>
  <c r="G533" i="1"/>
  <c r="F533" i="1"/>
  <c r="G532" i="1"/>
  <c r="F532" i="1"/>
  <c r="G531" i="1"/>
  <c r="F531" i="1"/>
  <c r="G530" i="1"/>
  <c r="F530" i="1"/>
  <c r="G529" i="1"/>
  <c r="F529" i="1"/>
  <c r="G528" i="1"/>
  <c r="F528" i="1"/>
  <c r="G527" i="1"/>
  <c r="F527" i="1"/>
  <c r="G526" i="1"/>
  <c r="F526" i="1"/>
  <c r="G525" i="1"/>
  <c r="F525" i="1"/>
  <c r="G524" i="1"/>
  <c r="F524" i="1"/>
  <c r="G523" i="1"/>
  <c r="F523" i="1"/>
  <c r="G522" i="1"/>
  <c r="F522" i="1"/>
  <c r="G521" i="1"/>
  <c r="F521" i="1"/>
  <c r="G520" i="1"/>
  <c r="F520" i="1"/>
  <c r="G519" i="1"/>
  <c r="F519" i="1"/>
  <c r="G518" i="1"/>
  <c r="F518" i="1"/>
  <c r="G517" i="1"/>
  <c r="F517" i="1"/>
  <c r="G516" i="1"/>
  <c r="F516" i="1"/>
  <c r="G515" i="1"/>
  <c r="F515" i="1"/>
  <c r="G514" i="1"/>
  <c r="F514" i="1"/>
  <c r="G513" i="1"/>
  <c r="F513" i="1"/>
  <c r="G512" i="1"/>
  <c r="F512" i="1"/>
  <c r="G511" i="1"/>
  <c r="F511" i="1"/>
  <c r="G510" i="1"/>
  <c r="F510" i="1"/>
  <c r="G509" i="1"/>
  <c r="F509" i="1"/>
  <c r="G508" i="1"/>
  <c r="F508" i="1"/>
  <c r="G507" i="1"/>
  <c r="F507" i="1"/>
  <c r="G506" i="1"/>
  <c r="F506" i="1"/>
  <c r="G505" i="1"/>
  <c r="F505" i="1"/>
  <c r="G504" i="1"/>
  <c r="F504" i="1"/>
  <c r="G503" i="1"/>
  <c r="F503" i="1"/>
  <c r="G502" i="1"/>
  <c r="F502" i="1"/>
  <c r="G501" i="1"/>
  <c r="F501" i="1"/>
  <c r="G500" i="1"/>
  <c r="F500" i="1"/>
  <c r="G499" i="1"/>
  <c r="F499" i="1"/>
  <c r="G498" i="1"/>
  <c r="F498" i="1"/>
  <c r="G497" i="1"/>
  <c r="F497" i="1"/>
  <c r="G496" i="1"/>
  <c r="F496" i="1"/>
  <c r="G495" i="1"/>
  <c r="F495" i="1"/>
  <c r="G494" i="1"/>
  <c r="F494" i="1"/>
  <c r="G493" i="1"/>
  <c r="F493" i="1"/>
  <c r="G492" i="1"/>
  <c r="F492" i="1"/>
  <c r="G491" i="1"/>
  <c r="F491" i="1"/>
  <c r="G490" i="1"/>
  <c r="F490" i="1"/>
  <c r="G489" i="1"/>
  <c r="F489" i="1"/>
  <c r="G488" i="1"/>
  <c r="F488" i="1"/>
  <c r="G487" i="1"/>
  <c r="F487" i="1"/>
  <c r="G486" i="1"/>
  <c r="F486" i="1"/>
  <c r="G485" i="1"/>
  <c r="F485" i="1"/>
  <c r="G484" i="1"/>
  <c r="F484" i="1"/>
  <c r="G483" i="1"/>
  <c r="F483" i="1"/>
  <c r="G482" i="1"/>
  <c r="F482" i="1"/>
  <c r="G481" i="1"/>
  <c r="F481" i="1"/>
  <c r="G480" i="1"/>
  <c r="F480" i="1"/>
  <c r="G479" i="1"/>
  <c r="F479" i="1"/>
  <c r="G478" i="1"/>
  <c r="F478" i="1"/>
  <c r="G477" i="1"/>
  <c r="F477" i="1"/>
  <c r="G476" i="1"/>
  <c r="F476" i="1"/>
  <c r="G475" i="1"/>
  <c r="F475" i="1"/>
  <c r="G474" i="1"/>
  <c r="F474" i="1"/>
  <c r="G473" i="1"/>
  <c r="F473" i="1"/>
  <c r="G472" i="1"/>
  <c r="F472" i="1"/>
  <c r="G471" i="1"/>
  <c r="F471" i="1"/>
  <c r="G470" i="1"/>
  <c r="F470" i="1"/>
  <c r="G469" i="1"/>
  <c r="F469" i="1"/>
  <c r="G468" i="1"/>
  <c r="F468" i="1"/>
  <c r="G467" i="1"/>
  <c r="F467" i="1"/>
  <c r="G466" i="1"/>
  <c r="F466" i="1"/>
  <c r="G465" i="1"/>
  <c r="F465" i="1"/>
  <c r="G464" i="1"/>
  <c r="F464" i="1"/>
  <c r="G463" i="1"/>
  <c r="F463" i="1"/>
  <c r="G462" i="1"/>
  <c r="F462" i="1"/>
  <c r="G461" i="1"/>
  <c r="F461" i="1"/>
  <c r="G460" i="1"/>
  <c r="F460" i="1"/>
  <c r="G459" i="1"/>
  <c r="F459" i="1"/>
  <c r="G458" i="1"/>
  <c r="F458" i="1"/>
  <c r="G457" i="1"/>
  <c r="F457" i="1"/>
  <c r="G456" i="1"/>
  <c r="F456" i="1"/>
  <c r="G455" i="1"/>
  <c r="F455" i="1"/>
  <c r="G454" i="1"/>
  <c r="F454" i="1"/>
  <c r="G453" i="1"/>
  <c r="F453" i="1"/>
  <c r="G452" i="1"/>
  <c r="F452" i="1"/>
  <c r="G451" i="1"/>
  <c r="F451" i="1"/>
  <c r="G450" i="1"/>
  <c r="F450" i="1"/>
  <c r="G449" i="1"/>
  <c r="F449" i="1"/>
  <c r="G448" i="1"/>
  <c r="F448" i="1"/>
  <c r="G447" i="1"/>
  <c r="F447" i="1"/>
  <c r="G446" i="1"/>
  <c r="F446" i="1"/>
  <c r="G445" i="1"/>
  <c r="F445" i="1"/>
  <c r="G444" i="1"/>
  <c r="F444" i="1"/>
  <c r="G443" i="1"/>
  <c r="F443" i="1"/>
  <c r="G442" i="1"/>
  <c r="F442" i="1"/>
  <c r="G441" i="1"/>
  <c r="F441" i="1"/>
  <c r="G440" i="1"/>
  <c r="F440" i="1"/>
  <c r="G439" i="1"/>
  <c r="F439" i="1"/>
  <c r="G438" i="1"/>
  <c r="F438" i="1"/>
  <c r="G437" i="1"/>
  <c r="F437" i="1"/>
  <c r="G436" i="1"/>
  <c r="F436" i="1"/>
  <c r="G435" i="1"/>
  <c r="F435" i="1"/>
  <c r="G434" i="1"/>
  <c r="F434" i="1"/>
  <c r="G433" i="1"/>
  <c r="F433" i="1"/>
  <c r="G432" i="1"/>
  <c r="F432" i="1"/>
  <c r="G431" i="1"/>
  <c r="F431" i="1"/>
  <c r="G430" i="1"/>
  <c r="F430" i="1"/>
  <c r="G429" i="1"/>
  <c r="F429" i="1"/>
  <c r="G428" i="1"/>
  <c r="F428" i="1"/>
  <c r="G427" i="1"/>
  <c r="F427" i="1"/>
  <c r="G426" i="1"/>
  <c r="F426" i="1"/>
  <c r="G425" i="1"/>
  <c r="F425" i="1"/>
  <c r="G424" i="1"/>
  <c r="F424" i="1"/>
  <c r="G423" i="1"/>
  <c r="F423" i="1"/>
  <c r="G422" i="1"/>
  <c r="F422" i="1"/>
  <c r="G421" i="1"/>
  <c r="F421" i="1"/>
  <c r="G420" i="1"/>
  <c r="F420" i="1"/>
  <c r="G419" i="1"/>
  <c r="F419" i="1"/>
  <c r="G418" i="1"/>
  <c r="F418" i="1"/>
  <c r="G417" i="1"/>
  <c r="F417" i="1"/>
  <c r="G416" i="1"/>
  <c r="F416" i="1"/>
  <c r="G415" i="1"/>
  <c r="F415" i="1"/>
  <c r="G414" i="1"/>
  <c r="F414" i="1"/>
  <c r="G413" i="1"/>
  <c r="F413" i="1"/>
  <c r="G412" i="1"/>
  <c r="F412" i="1"/>
  <c r="G411" i="1"/>
  <c r="F411" i="1"/>
  <c r="G410" i="1"/>
  <c r="F410" i="1"/>
  <c r="G409" i="1"/>
  <c r="F409" i="1"/>
  <c r="G408" i="1"/>
  <c r="F408" i="1"/>
  <c r="G407" i="1"/>
  <c r="F407" i="1"/>
  <c r="G406" i="1"/>
  <c r="F406" i="1"/>
  <c r="G405" i="1"/>
  <c r="F405" i="1"/>
  <c r="G404" i="1"/>
  <c r="F404" i="1"/>
  <c r="G403" i="1"/>
  <c r="F403" i="1"/>
  <c r="G402" i="1"/>
  <c r="F402" i="1"/>
  <c r="G401" i="1"/>
  <c r="F401" i="1"/>
  <c r="G400" i="1"/>
  <c r="F400" i="1"/>
  <c r="G399" i="1"/>
  <c r="F399" i="1"/>
  <c r="G398" i="1"/>
  <c r="F398" i="1"/>
  <c r="G397" i="1"/>
  <c r="F397" i="1"/>
  <c r="G396" i="1"/>
  <c r="F396" i="1"/>
  <c r="G395" i="1"/>
  <c r="F395" i="1"/>
  <c r="G394" i="1"/>
  <c r="F394" i="1"/>
  <c r="G393" i="1"/>
  <c r="F393" i="1"/>
  <c r="G392" i="1"/>
  <c r="F392" i="1"/>
  <c r="G391" i="1"/>
  <c r="F391" i="1"/>
  <c r="G390" i="1"/>
  <c r="F390" i="1"/>
  <c r="G389" i="1"/>
  <c r="F389" i="1"/>
  <c r="G388" i="1"/>
  <c r="F388" i="1"/>
  <c r="G387" i="1"/>
  <c r="F387" i="1"/>
  <c r="G386" i="1"/>
  <c r="F386" i="1"/>
  <c r="G385" i="1"/>
  <c r="F385" i="1"/>
  <c r="G384" i="1"/>
  <c r="F384" i="1"/>
  <c r="G383" i="1"/>
  <c r="F383" i="1"/>
  <c r="G382" i="1"/>
  <c r="F382" i="1"/>
  <c r="G381" i="1"/>
  <c r="F381" i="1"/>
  <c r="G380" i="1"/>
  <c r="F380" i="1"/>
  <c r="G379" i="1"/>
  <c r="F379" i="1"/>
  <c r="G378" i="1"/>
  <c r="F378" i="1"/>
  <c r="G377" i="1"/>
  <c r="F377" i="1"/>
  <c r="G376" i="1"/>
  <c r="F376" i="1"/>
  <c r="G375" i="1"/>
  <c r="F375" i="1"/>
  <c r="G374" i="1"/>
  <c r="F374" i="1"/>
  <c r="G373" i="1"/>
  <c r="F373" i="1"/>
  <c r="G372" i="1"/>
  <c r="F372" i="1"/>
  <c r="G371" i="1"/>
  <c r="F371" i="1"/>
  <c r="G370" i="1"/>
  <c r="F370" i="1"/>
  <c r="G369" i="1"/>
  <c r="F369" i="1"/>
  <c r="G368" i="1"/>
  <c r="F368" i="1"/>
  <c r="G367" i="1"/>
  <c r="F367" i="1"/>
  <c r="G366" i="1"/>
  <c r="F366" i="1"/>
  <c r="G365" i="1"/>
  <c r="F365" i="1"/>
  <c r="G364" i="1"/>
  <c r="F364" i="1"/>
  <c r="G363" i="1"/>
  <c r="F363" i="1"/>
  <c r="G362" i="1"/>
  <c r="F362" i="1"/>
  <c r="G361" i="1"/>
  <c r="F361" i="1"/>
  <c r="G360" i="1"/>
  <c r="F360" i="1"/>
  <c r="G359" i="1"/>
  <c r="F359" i="1"/>
  <c r="G358" i="1"/>
  <c r="F358" i="1"/>
  <c r="G357" i="1"/>
  <c r="F357" i="1"/>
  <c r="G356" i="1"/>
  <c r="F356" i="1"/>
  <c r="G355" i="1"/>
  <c r="F355" i="1"/>
  <c r="G354" i="1"/>
  <c r="F354" i="1"/>
  <c r="G353" i="1"/>
  <c r="F353" i="1"/>
  <c r="G352" i="1"/>
  <c r="F352" i="1"/>
  <c r="G351" i="1"/>
  <c r="F351" i="1"/>
  <c r="G350" i="1"/>
  <c r="F350" i="1"/>
  <c r="G349" i="1"/>
  <c r="F349" i="1"/>
  <c r="G348" i="1"/>
  <c r="F348" i="1"/>
  <c r="G347" i="1"/>
  <c r="F347" i="1"/>
  <c r="G346" i="1"/>
  <c r="F346" i="1"/>
  <c r="G345" i="1"/>
  <c r="F345" i="1"/>
  <c r="G344" i="1"/>
  <c r="F344" i="1"/>
  <c r="G343" i="1"/>
  <c r="F343" i="1"/>
  <c r="G342" i="1"/>
  <c r="F342" i="1"/>
  <c r="G341" i="1"/>
  <c r="F341" i="1"/>
  <c r="G340" i="1"/>
  <c r="F340" i="1"/>
  <c r="G339" i="1"/>
  <c r="F339" i="1"/>
  <c r="G338" i="1"/>
  <c r="F338" i="1"/>
  <c r="G337" i="1"/>
  <c r="F337" i="1"/>
  <c r="G336" i="1"/>
  <c r="F336" i="1"/>
  <c r="G335" i="1"/>
  <c r="F335" i="1"/>
  <c r="G334" i="1"/>
  <c r="F334" i="1"/>
  <c r="G333" i="1"/>
  <c r="F333" i="1"/>
  <c r="G332" i="1"/>
  <c r="F332" i="1"/>
  <c r="G331" i="1"/>
  <c r="F331" i="1"/>
  <c r="G330" i="1"/>
  <c r="F330" i="1"/>
  <c r="G329" i="1"/>
  <c r="F329" i="1"/>
  <c r="G328" i="1"/>
  <c r="F328" i="1"/>
  <c r="G327" i="1"/>
  <c r="F327" i="1"/>
  <c r="G326" i="1"/>
  <c r="F326" i="1"/>
  <c r="G325" i="1"/>
  <c r="F325" i="1"/>
  <c r="G324" i="1"/>
  <c r="F324" i="1"/>
  <c r="G323" i="1"/>
  <c r="F323" i="1"/>
  <c r="G322" i="1"/>
  <c r="F322" i="1"/>
  <c r="G321" i="1"/>
  <c r="F321" i="1"/>
  <c r="G320" i="1"/>
  <c r="F320" i="1"/>
  <c r="G319" i="1"/>
  <c r="F319" i="1"/>
  <c r="G318" i="1"/>
  <c r="F318" i="1"/>
  <c r="G317" i="1"/>
  <c r="F317" i="1"/>
  <c r="G316" i="1"/>
  <c r="F316" i="1"/>
  <c r="G315" i="1"/>
  <c r="F315" i="1"/>
  <c r="G314" i="1"/>
  <c r="F314" i="1"/>
  <c r="G313" i="1"/>
  <c r="F313" i="1"/>
  <c r="G312" i="1"/>
  <c r="F312" i="1"/>
  <c r="G311" i="1"/>
  <c r="F311" i="1"/>
  <c r="G310" i="1"/>
  <c r="F310" i="1"/>
  <c r="G309" i="1"/>
  <c r="F309" i="1"/>
  <c r="G308" i="1"/>
  <c r="F308" i="1"/>
  <c r="G307" i="1"/>
  <c r="F307" i="1"/>
  <c r="G306" i="1"/>
  <c r="F306" i="1"/>
  <c r="G305" i="1"/>
  <c r="F305" i="1"/>
  <c r="G304" i="1"/>
  <c r="F304" i="1"/>
  <c r="G303" i="1"/>
  <c r="F303" i="1"/>
  <c r="G302" i="1"/>
  <c r="F302" i="1"/>
  <c r="G301" i="1"/>
  <c r="F301" i="1"/>
  <c r="G300" i="1"/>
  <c r="F300" i="1"/>
  <c r="G299" i="1"/>
  <c r="F299" i="1"/>
  <c r="G298" i="1"/>
  <c r="F298" i="1"/>
  <c r="G297" i="1"/>
  <c r="F297" i="1"/>
  <c r="G296" i="1"/>
  <c r="F296" i="1"/>
  <c r="G295" i="1"/>
  <c r="F295" i="1"/>
  <c r="G294" i="1"/>
  <c r="F294" i="1"/>
  <c r="G293" i="1"/>
  <c r="F293" i="1"/>
  <c r="G292" i="1"/>
  <c r="F292" i="1"/>
  <c r="G291" i="1"/>
  <c r="F291" i="1"/>
  <c r="G290" i="1"/>
  <c r="F290" i="1"/>
  <c r="G289" i="1"/>
  <c r="F289" i="1"/>
  <c r="G288" i="1"/>
  <c r="F288" i="1"/>
  <c r="G287" i="1"/>
  <c r="F287" i="1"/>
  <c r="G286" i="1"/>
  <c r="F286" i="1"/>
  <c r="G285" i="1"/>
  <c r="F285" i="1"/>
  <c r="G284" i="1"/>
  <c r="F284" i="1"/>
  <c r="G283" i="1"/>
  <c r="F283" i="1"/>
  <c r="G282" i="1"/>
  <c r="F282" i="1"/>
  <c r="G281" i="1"/>
  <c r="F281" i="1"/>
  <c r="G280" i="1"/>
  <c r="F280" i="1"/>
  <c r="G279" i="1"/>
  <c r="F279" i="1"/>
  <c r="G278" i="1"/>
  <c r="F278" i="1"/>
  <c r="G277" i="1"/>
  <c r="F277" i="1"/>
  <c r="G276" i="1"/>
  <c r="F276" i="1"/>
  <c r="G275" i="1"/>
  <c r="F275" i="1"/>
  <c r="G274" i="1"/>
  <c r="F274" i="1"/>
  <c r="G273" i="1"/>
  <c r="F273" i="1"/>
  <c r="G272" i="1"/>
  <c r="F272" i="1"/>
  <c r="G271" i="1"/>
  <c r="F271" i="1"/>
  <c r="G270" i="1"/>
  <c r="F270" i="1"/>
  <c r="G269" i="1"/>
  <c r="F269" i="1"/>
  <c r="G268" i="1"/>
  <c r="F268" i="1"/>
  <c r="G267" i="1"/>
  <c r="F267" i="1"/>
  <c r="G266" i="1"/>
  <c r="F266" i="1"/>
  <c r="G265" i="1"/>
  <c r="F265" i="1"/>
  <c r="G264" i="1"/>
  <c r="F264" i="1"/>
  <c r="G263" i="1"/>
  <c r="F263" i="1"/>
  <c r="G262" i="1"/>
  <c r="F262" i="1"/>
  <c r="G261" i="1"/>
  <c r="F261" i="1"/>
  <c r="G260" i="1"/>
  <c r="F260" i="1"/>
  <c r="G259" i="1"/>
  <c r="F259" i="1"/>
  <c r="G258" i="1"/>
  <c r="F258" i="1"/>
  <c r="G257" i="1"/>
  <c r="F257" i="1"/>
  <c r="G256" i="1"/>
  <c r="F256" i="1"/>
  <c r="G255" i="1"/>
  <c r="F255" i="1"/>
  <c r="G254" i="1"/>
  <c r="F254" i="1"/>
  <c r="G253" i="1"/>
  <c r="F253" i="1"/>
  <c r="G252" i="1"/>
  <c r="F252" i="1"/>
  <c r="G251" i="1"/>
  <c r="F251" i="1"/>
  <c r="G250" i="1"/>
  <c r="F250" i="1"/>
  <c r="G249" i="1"/>
  <c r="F249" i="1"/>
  <c r="G248" i="1"/>
  <c r="F248" i="1"/>
  <c r="G247" i="1"/>
  <c r="F247" i="1"/>
  <c r="G246" i="1"/>
  <c r="F246" i="1"/>
  <c r="G245" i="1"/>
  <c r="F245" i="1"/>
  <c r="G244" i="1"/>
  <c r="F244" i="1"/>
  <c r="G243" i="1"/>
  <c r="F243" i="1"/>
  <c r="G242" i="1"/>
  <c r="F242" i="1"/>
  <c r="G241" i="1"/>
  <c r="F241" i="1"/>
  <c r="G240" i="1"/>
  <c r="F240" i="1"/>
  <c r="G239" i="1"/>
  <c r="F239" i="1"/>
  <c r="G238" i="1"/>
  <c r="F238" i="1"/>
  <c r="G237" i="1"/>
  <c r="F237" i="1"/>
  <c r="G236" i="1"/>
  <c r="F236" i="1"/>
  <c r="G235" i="1"/>
  <c r="F235" i="1"/>
  <c r="G234" i="1"/>
  <c r="F234" i="1"/>
  <c r="G233" i="1"/>
  <c r="F233" i="1"/>
  <c r="G232" i="1"/>
  <c r="F232" i="1"/>
  <c r="G231" i="1"/>
  <c r="F231" i="1"/>
  <c r="G230" i="1"/>
  <c r="F230" i="1"/>
  <c r="G229" i="1"/>
  <c r="F229" i="1"/>
  <c r="G228" i="1"/>
  <c r="F228" i="1"/>
  <c r="G227" i="1"/>
  <c r="F227" i="1"/>
  <c r="G226" i="1"/>
  <c r="F226" i="1"/>
  <c r="G225" i="1"/>
  <c r="F225" i="1"/>
  <c r="G224" i="1"/>
  <c r="F224" i="1"/>
  <c r="G223" i="1"/>
  <c r="F223" i="1"/>
  <c r="G222" i="1"/>
  <c r="F222" i="1"/>
  <c r="G221" i="1"/>
  <c r="F221" i="1"/>
  <c r="G220" i="1"/>
  <c r="F220" i="1"/>
  <c r="G219" i="1"/>
  <c r="F219" i="1"/>
  <c r="G218" i="1"/>
  <c r="F218" i="1"/>
  <c r="G217" i="1"/>
  <c r="F217" i="1"/>
  <c r="G216" i="1"/>
  <c r="F216" i="1"/>
  <c r="G215" i="1"/>
  <c r="F215" i="1"/>
  <c r="G214" i="1"/>
  <c r="F214" i="1"/>
  <c r="G213" i="1"/>
  <c r="F213" i="1"/>
  <c r="G212" i="1"/>
  <c r="F212" i="1"/>
  <c r="G211" i="1"/>
  <c r="F211" i="1"/>
  <c r="G210" i="1"/>
  <c r="F210" i="1"/>
  <c r="G209" i="1"/>
  <c r="F209" i="1"/>
  <c r="G208" i="1"/>
  <c r="F208" i="1"/>
  <c r="G207" i="1"/>
  <c r="F207" i="1"/>
  <c r="G206" i="1"/>
  <c r="F206" i="1"/>
  <c r="G205" i="1"/>
  <c r="F205" i="1"/>
  <c r="G204" i="1"/>
  <c r="F204" i="1"/>
  <c r="G203" i="1"/>
  <c r="F203" i="1"/>
  <c r="G202" i="1"/>
  <c r="F202" i="1"/>
  <c r="G201" i="1"/>
  <c r="F201" i="1"/>
  <c r="G200" i="1"/>
  <c r="F200" i="1"/>
  <c r="G199" i="1"/>
  <c r="F199" i="1"/>
  <c r="G198" i="1"/>
  <c r="F198" i="1"/>
  <c r="G197" i="1"/>
  <c r="F197" i="1"/>
  <c r="G196" i="1"/>
  <c r="F196" i="1"/>
  <c r="G195" i="1"/>
  <c r="F195" i="1"/>
  <c r="G194" i="1"/>
  <c r="F194" i="1"/>
  <c r="G193" i="1"/>
  <c r="F193" i="1"/>
  <c r="G192" i="1"/>
  <c r="F192" i="1"/>
  <c r="G191" i="1"/>
  <c r="F191" i="1"/>
  <c r="G190" i="1"/>
  <c r="F190" i="1"/>
  <c r="G189" i="1"/>
  <c r="F189" i="1"/>
  <c r="G188" i="1"/>
  <c r="F188" i="1"/>
  <c r="G187" i="1"/>
  <c r="F187" i="1"/>
  <c r="G186" i="1"/>
  <c r="F186" i="1"/>
  <c r="G185" i="1"/>
  <c r="F185" i="1"/>
  <c r="G184" i="1"/>
  <c r="F184" i="1"/>
  <c r="G183" i="1"/>
  <c r="F183" i="1"/>
  <c r="G182" i="1"/>
  <c r="F182" i="1"/>
  <c r="G181" i="1"/>
  <c r="F181" i="1"/>
  <c r="G180" i="1"/>
  <c r="F180" i="1"/>
  <c r="G179" i="1"/>
  <c r="F179" i="1"/>
  <c r="G178" i="1"/>
  <c r="F178" i="1"/>
  <c r="G177" i="1"/>
  <c r="F177" i="1"/>
  <c r="G176" i="1"/>
  <c r="F176" i="1"/>
  <c r="G175" i="1"/>
  <c r="F175" i="1"/>
  <c r="G174" i="1"/>
  <c r="F174" i="1"/>
  <c r="G173" i="1"/>
  <c r="F173" i="1"/>
  <c r="G172" i="1"/>
  <c r="F172" i="1"/>
  <c r="G171" i="1"/>
  <c r="F171" i="1"/>
  <c r="G170" i="1"/>
  <c r="F170" i="1"/>
  <c r="G169" i="1"/>
  <c r="F169" i="1"/>
  <c r="G168" i="1"/>
  <c r="F168" i="1"/>
  <c r="G167" i="1"/>
  <c r="F167" i="1"/>
  <c r="G166" i="1"/>
  <c r="F166" i="1"/>
  <c r="G165" i="1"/>
  <c r="F165" i="1"/>
  <c r="G164" i="1"/>
  <c r="F164" i="1"/>
  <c r="G163" i="1"/>
  <c r="F163" i="1"/>
  <c r="G162" i="1"/>
  <c r="F162" i="1"/>
  <c r="G161" i="1"/>
  <c r="F161" i="1"/>
  <c r="G160" i="1"/>
  <c r="F160" i="1"/>
  <c r="G159" i="1"/>
  <c r="F159" i="1"/>
  <c r="G158" i="1"/>
  <c r="F158" i="1"/>
  <c r="G157" i="1"/>
  <c r="F157" i="1"/>
  <c r="G156" i="1"/>
  <c r="F156" i="1"/>
  <c r="G155" i="1"/>
  <c r="F155" i="1"/>
  <c r="G154" i="1"/>
  <c r="F154" i="1"/>
  <c r="G153" i="1"/>
  <c r="F153" i="1"/>
  <c r="G152" i="1"/>
  <c r="F152" i="1"/>
  <c r="G151" i="1"/>
  <c r="F151" i="1"/>
  <c r="G150" i="1"/>
  <c r="F150" i="1"/>
  <c r="G149" i="1"/>
  <c r="F149" i="1"/>
  <c r="G148" i="1"/>
  <c r="F148" i="1"/>
  <c r="G147" i="1"/>
  <c r="F147" i="1"/>
  <c r="G146" i="1"/>
  <c r="F146" i="1"/>
  <c r="G145" i="1"/>
  <c r="F145" i="1"/>
  <c r="G144" i="1"/>
  <c r="F144" i="1"/>
  <c r="G143" i="1"/>
  <c r="F143" i="1"/>
  <c r="G142" i="1"/>
  <c r="F142" i="1"/>
  <c r="G141" i="1"/>
  <c r="F141" i="1"/>
  <c r="G140" i="1"/>
  <c r="F140" i="1"/>
  <c r="G139" i="1"/>
  <c r="F139" i="1"/>
  <c r="G138" i="1"/>
  <c r="F138" i="1"/>
  <c r="G137" i="1"/>
  <c r="F137" i="1"/>
  <c r="G136" i="1"/>
  <c r="F136" i="1"/>
  <c r="G135" i="1"/>
  <c r="F135" i="1"/>
  <c r="G134" i="1"/>
  <c r="F134" i="1"/>
  <c r="G133" i="1"/>
  <c r="F133" i="1"/>
  <c r="G132" i="1"/>
  <c r="F132" i="1"/>
  <c r="G131" i="1"/>
  <c r="F131" i="1"/>
  <c r="G130" i="1"/>
  <c r="F130" i="1"/>
  <c r="G129" i="1"/>
  <c r="F129" i="1"/>
  <c r="G128" i="1"/>
  <c r="F128" i="1"/>
  <c r="G127" i="1"/>
  <c r="F127" i="1"/>
  <c r="G126" i="1"/>
  <c r="F126" i="1"/>
  <c r="G125" i="1"/>
  <c r="F125" i="1"/>
  <c r="G124" i="1"/>
  <c r="F124" i="1"/>
  <c r="G123" i="1"/>
  <c r="F123" i="1"/>
  <c r="G122" i="1"/>
  <c r="F122" i="1"/>
  <c r="G121" i="1"/>
  <c r="F121" i="1"/>
  <c r="G120" i="1"/>
  <c r="F120" i="1"/>
  <c r="G119" i="1"/>
  <c r="F119" i="1"/>
  <c r="G118" i="1"/>
  <c r="F118" i="1"/>
  <c r="G117" i="1"/>
  <c r="F117" i="1"/>
  <c r="G116" i="1"/>
  <c r="F116" i="1"/>
  <c r="G115" i="1"/>
  <c r="F115" i="1"/>
  <c r="G114" i="1"/>
  <c r="F114" i="1"/>
  <c r="G113" i="1"/>
  <c r="F113" i="1"/>
  <c r="G112" i="1"/>
  <c r="F112" i="1"/>
  <c r="G111" i="1"/>
  <c r="F111" i="1"/>
  <c r="G110" i="1"/>
  <c r="F110" i="1"/>
  <c r="G109" i="1"/>
  <c r="F109" i="1"/>
  <c r="G108" i="1"/>
  <c r="F108" i="1"/>
  <c r="G107" i="1"/>
  <c r="F107" i="1"/>
  <c r="G106" i="1"/>
  <c r="F106" i="1"/>
  <c r="G105" i="1"/>
  <c r="F105" i="1"/>
  <c r="G104" i="1"/>
  <c r="F104" i="1"/>
  <c r="G103" i="1"/>
  <c r="F103" i="1"/>
  <c r="G102" i="1"/>
  <c r="F102" i="1"/>
  <c r="G101" i="1"/>
  <c r="F101" i="1"/>
  <c r="G100" i="1"/>
  <c r="F100" i="1"/>
  <c r="G99" i="1"/>
  <c r="F99" i="1"/>
  <c r="G98" i="1"/>
  <c r="F98" i="1"/>
  <c r="G97" i="1"/>
  <c r="F97" i="1"/>
  <c r="G96" i="1"/>
  <c r="F96" i="1"/>
  <c r="G95" i="1"/>
  <c r="F95" i="1"/>
  <c r="G94" i="1"/>
  <c r="F94" i="1"/>
  <c r="G93" i="1"/>
  <c r="F93" i="1"/>
  <c r="G92" i="1"/>
  <c r="F92" i="1"/>
  <c r="G91" i="1"/>
  <c r="F91" i="1"/>
  <c r="G90" i="1"/>
  <c r="F90" i="1"/>
  <c r="G89" i="1"/>
  <c r="F89" i="1"/>
  <c r="G88" i="1"/>
  <c r="F88" i="1"/>
  <c r="G87" i="1"/>
  <c r="F87" i="1"/>
  <c r="G86" i="1"/>
  <c r="F86" i="1"/>
  <c r="G85" i="1"/>
  <c r="F85" i="1"/>
  <c r="G84" i="1"/>
  <c r="F84" i="1"/>
  <c r="G83" i="1"/>
  <c r="F83" i="1"/>
  <c r="G82" i="1"/>
  <c r="F82" i="1"/>
  <c r="G81" i="1"/>
  <c r="F81" i="1"/>
  <c r="G80" i="1"/>
  <c r="F80" i="1"/>
  <c r="G79" i="1"/>
  <c r="F79" i="1"/>
  <c r="G78" i="1"/>
  <c r="F78" i="1"/>
  <c r="G77" i="1"/>
  <c r="F77" i="1"/>
  <c r="G76" i="1"/>
  <c r="F76" i="1"/>
  <c r="G75" i="1"/>
  <c r="F75" i="1"/>
  <c r="G74" i="1"/>
  <c r="F74" i="1"/>
  <c r="G73" i="1"/>
  <c r="F73" i="1"/>
  <c r="G72" i="1"/>
  <c r="F72" i="1"/>
  <c r="G71" i="1"/>
  <c r="F71" i="1"/>
  <c r="G70" i="1"/>
  <c r="F70" i="1"/>
  <c r="G69" i="1"/>
  <c r="F69" i="1"/>
  <c r="G68" i="1"/>
  <c r="F68" i="1"/>
  <c r="G67" i="1"/>
  <c r="F67" i="1"/>
  <c r="G66" i="1"/>
  <c r="F66" i="1"/>
  <c r="G65" i="1"/>
  <c r="F65" i="1"/>
  <c r="G64" i="1"/>
  <c r="F64" i="1"/>
  <c r="G63" i="1"/>
  <c r="F63" i="1"/>
  <c r="G62" i="1"/>
  <c r="F62" i="1"/>
  <c r="G61" i="1"/>
  <c r="F61" i="1"/>
  <c r="G60" i="1"/>
  <c r="F60" i="1"/>
  <c r="G59" i="1"/>
  <c r="F59" i="1"/>
  <c r="G58" i="1"/>
  <c r="F58" i="1"/>
  <c r="G57" i="1"/>
  <c r="F57" i="1"/>
  <c r="G56" i="1"/>
  <c r="F56" i="1"/>
  <c r="G55" i="1"/>
  <c r="F55" i="1"/>
  <c r="G54" i="1"/>
  <c r="F54" i="1"/>
  <c r="G53" i="1"/>
  <c r="F53" i="1"/>
  <c r="G52" i="1"/>
  <c r="F52" i="1"/>
  <c r="G51" i="1"/>
  <c r="F51" i="1"/>
  <c r="G50" i="1"/>
  <c r="F50" i="1"/>
  <c r="G49" i="1"/>
  <c r="F49" i="1"/>
  <c r="G48" i="1"/>
  <c r="F48" i="1"/>
  <c r="G47" i="1"/>
  <c r="F47" i="1"/>
  <c r="G46" i="1"/>
  <c r="F46" i="1"/>
  <c r="G45" i="1"/>
  <c r="F45" i="1"/>
  <c r="G44" i="1"/>
  <c r="F44" i="1"/>
  <c r="G43" i="1"/>
  <c r="F43" i="1"/>
  <c r="G42" i="1"/>
  <c r="F42" i="1"/>
  <c r="G41" i="1"/>
  <c r="F41" i="1"/>
  <c r="G40" i="1"/>
  <c r="F40" i="1"/>
  <c r="G39" i="1"/>
  <c r="F39" i="1"/>
  <c r="G38" i="1"/>
  <c r="F38" i="1"/>
  <c r="G37" i="1"/>
  <c r="F37" i="1"/>
  <c r="G36" i="1"/>
  <c r="F36" i="1"/>
  <c r="G35" i="1"/>
  <c r="F35" i="1"/>
  <c r="G34" i="1"/>
  <c r="F34" i="1"/>
  <c r="G33" i="1"/>
  <c r="F33" i="1"/>
  <c r="G32" i="1"/>
  <c r="F32" i="1"/>
  <c r="G31" i="1"/>
  <c r="F31" i="1"/>
  <c r="G30" i="1"/>
  <c r="F30" i="1"/>
  <c r="G29" i="1"/>
  <c r="F29" i="1"/>
  <c r="G28" i="1"/>
  <c r="F28" i="1"/>
  <c r="G27" i="1"/>
  <c r="F27" i="1"/>
  <c r="G26" i="1"/>
  <c r="F26" i="1"/>
  <c r="G25" i="1"/>
  <c r="F25" i="1"/>
  <c r="G24" i="1"/>
  <c r="F24" i="1"/>
  <c r="G23" i="1"/>
  <c r="F23" i="1"/>
  <c r="G22" i="1"/>
  <c r="F22" i="1"/>
  <c r="G21" i="1"/>
  <c r="F21" i="1"/>
  <c r="G20" i="1"/>
  <c r="F20" i="1"/>
  <c r="G19" i="1"/>
  <c r="F19" i="1"/>
  <c r="G18" i="1"/>
  <c r="F18" i="1"/>
  <c r="G17" i="1"/>
  <c r="F17" i="1"/>
  <c r="G16" i="1"/>
  <c r="F16" i="1"/>
  <c r="G15" i="1"/>
  <c r="F15" i="1"/>
  <c r="G14" i="1"/>
  <c r="F14" i="1"/>
  <c r="G13" i="1"/>
  <c r="F13" i="1"/>
  <c r="G12" i="1"/>
  <c r="F12" i="1"/>
  <c r="G11" i="1"/>
  <c r="F11" i="1"/>
  <c r="G10" i="1"/>
  <c r="F10" i="1"/>
  <c r="G9" i="1"/>
  <c r="F9" i="1"/>
  <c r="G8" i="1"/>
  <c r="F8" i="1"/>
  <c r="G7" i="1"/>
  <c r="F7" i="1"/>
  <c r="G6" i="1"/>
  <c r="F6" i="1"/>
  <c r="G5" i="1"/>
  <c r="F5" i="1"/>
  <c r="G4" i="1"/>
  <c r="F4" i="1"/>
  <c r="G3" i="1"/>
  <c r="F3" i="1"/>
</calcChain>
</file>

<file path=xl/sharedStrings.xml><?xml version="1.0" encoding="utf-8"?>
<sst xmlns="http://schemas.openxmlformats.org/spreadsheetml/2006/main" count="55" uniqueCount="46">
  <si>
    <t>Day</t>
  </si>
  <si>
    <t>Date</t>
  </si>
  <si>
    <t>IW (m3)</t>
  </si>
  <si>
    <t>MBR product (m3/day)</t>
  </si>
  <si>
    <t>RO product (m3/day)</t>
  </si>
  <si>
    <t>Phase</t>
  </si>
  <si>
    <t>Month</t>
  </si>
  <si>
    <t xml:space="preserve">Table S5.  Daily AIOT-monitored flow records for the MBR–RO plant, showing externally procured industrial water (IW), MBR product water, and RO product water. Study Days 1–90 correspond to commissioning, Days 91–457 to handover, and Days 458–540 to recommissioning. Corresponding calendar periods, phase-boundary criteria, and operational milestones are provided in Table S6. </t>
  </si>
  <si>
    <t>Item / dataset field</t>
  </si>
  <si>
    <t>Unit or coding</t>
  </si>
  <si>
    <t>Description</t>
  </si>
  <si>
    <t>Repository</t>
  </si>
  <si>
    <t>—</t>
  </si>
  <si>
    <t>Dataset DOI</t>
  </si>
  <si>
    <t>Archived file</t>
  </si>
  <si>
    <t>MBR_RO_AIOT_daily_flow_540d.csv</t>
  </si>
  <si>
    <t>Dataset version</t>
  </si>
  <si>
    <t>Version 1.0</t>
  </si>
  <si>
    <t>Study period</t>
  </si>
  <si>
    <t>4 January 2024–26 June 2025</t>
  </si>
  <si>
    <t>Number of observations</t>
  </si>
  <si>
    <t>n</t>
  </si>
  <si>
    <t>540 daily records</t>
  </si>
  <si>
    <t>Integer, 1–540</t>
  </si>
  <si>
    <t>Sequential monitored day from the beginning of the study</t>
  </si>
  <si>
    <t>YYYY-MM-DD</t>
  </si>
  <si>
    <t>Calendar date corresponding to each study day</t>
  </si>
  <si>
    <t>Categorical</t>
  </si>
  <si>
    <t>Commissioning, handover, or recommissioning</t>
  </si>
  <si>
    <t>m³ d⁻¹</t>
  </si>
  <si>
    <t>Daily externally procured industrial-water volume</t>
  </si>
  <si>
    <t>Daily MBR product-water volume</t>
  </si>
  <si>
    <t>Daily RO product-water volume</t>
  </si>
  <si>
    <t>Zero-flow convention</t>
  </si>
  <si>
    <t>0 m³ d⁻¹</t>
  </si>
  <si>
    <t>An observed zero-flow or complete-production-interruption day; not treated as missing data</t>
  </si>
  <si>
    <t>Missing-value convention</t>
  </si>
  <si>
    <t>NA</t>
  </si>
  <si>
    <t>Unavailable observations, where applicable; not replaced by zero</t>
  </si>
  <si>
    <t>Data source</t>
  </si>
  <si>
    <t>Bluewater Lab AIOT records obtained from the plant flowmeters</t>
  </si>
  <si>
    <t>Study day</t>
  </si>
  <si>
    <t>IW</t>
  </si>
  <si>
    <t>MBR product</t>
  </si>
  <si>
    <t>RO product</t>
  </si>
  <si>
    <t>Figshare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</si>
</sst>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1"/>
      <color theme="1"/>
      <name val="Aptos Narrow"/>
      <family val="2"/>
      <scheme val="minor"/>
    </font>
    <font>
      <b/>
      <sz val="10"/>
      <name val="Times New Roman"/>
      <family val="1"/>
    </font>
    <font>
      <sz val="10"/>
      <name val="Times New Roman"/>
      <family val="1"/>
    </font>
    <font>
      <sz val="11"/>
      <color theme="1"/>
      <name val="Times New Roman"/>
      <family val="1"/>
    </font>
    <font>
      <b/>
      <sz val="11"/>
      <color theme="1"/>
      <name val="Times New Roman"/>
      <family val="1"/>
    </font>
    <font>
      <sz val="10"/>
      <color theme="1"/>
      <name val="Times New Roman"/>
      <family val="1"/>
    </font>
  </fonts>
  <fills count="3">
    <fill>
      <patternFill patternType="none"/>
    </fill>
    <fill>
      <patternFill patternType="gray125"/>
    </fill>
    <fill>
      <patternFill patternType="solid">
        <fgColor theme="2"/>
        <bgColor rgb="FF333333"/>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rgb="FFBFBFBF"/>
      </right>
      <top style="thin">
        <color rgb="FFBFBFBF"/>
      </top>
      <bottom style="thin">
        <color rgb="FFBFBFBF"/>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1" xfId="0" applyFont="1" applyBorder="1"/>
    <xf numFmtId="164" fontId="2" fillId="0" borderId="1" xfId="0" applyNumberFormat="1" applyFont="1" applyBorder="1"/>
    <xf numFmtId="4" fontId="2" fillId="0" borderId="1" xfId="0" applyNumberFormat="1" applyFont="1" applyBorder="1"/>
    <xf numFmtId="0" fontId="2" fillId="0" borderId="0" xfId="0" applyFont="1" applyAlignment="1">
      <alignment horizontal="center"/>
    </xf>
    <xf numFmtId="0" fontId="3" fillId="0" borderId="0" xfId="0" applyFont="1" applyAlignment="1">
      <alignment horizontal="left" wrapText="1"/>
    </xf>
    <xf numFmtId="0" fontId="0" fillId="0" borderId="0" xfId="0" applyAlignment="1">
      <alignment horizontal="left" wrapText="1"/>
    </xf>
    <xf numFmtId="0" fontId="4" fillId="0" borderId="0" xfId="0" applyFont="1" applyAlignment="1">
      <alignment vertical="center" wrapText="1"/>
    </xf>
    <xf numFmtId="0" fontId="3" fillId="0" borderId="0" xfId="0" applyFont="1" applyAlignment="1">
      <alignment vertical="center" wrapText="1"/>
    </xf>
    <xf numFmtId="0" fontId="5" fillId="0" borderId="0" xfId="0" applyFont="1" applyAlignment="1">
      <alignment vertical="center" wrapText="1"/>
    </xf>
    <xf numFmtId="0" fontId="4" fillId="0" borderId="4" xfId="0" applyFont="1" applyBorder="1" applyAlignment="1">
      <alignment horizontal="left" vertical="center" wrapText="1"/>
    </xf>
    <xf numFmtId="0" fontId="4" fillId="0" borderId="4" xfId="0" applyFont="1" applyBorder="1" applyAlignment="1">
      <alignment horizontal="center" vertical="center" wrapText="1"/>
    </xf>
    <xf numFmtId="0" fontId="5" fillId="0" borderId="3" xfId="0" applyFont="1" applyBorder="1" applyAlignment="1">
      <alignment vertical="center" wrapText="1"/>
    </xf>
    <xf numFmtId="0" fontId="3" fillId="0" borderId="3"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tri\Dropbox\A1%20Feli%20PhD%20Research\Commissioning%20%20paper\MS\MS-Rev1\Data%20%20complete%20Soci-1.xlsx" TargetMode="External"/><Relationship Id="rId1" Type="http://schemas.openxmlformats.org/officeDocument/2006/relationships/externalLinkPath" Target="Data%20%20complete%20Soci-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ssumptions"/>
      <sheetName val="Categories"/>
      <sheetName val="Flow Data"/>
      <sheetName val="Incident Log"/>
      <sheetName val="Manpower"/>
      <sheetName val="Monthly Rollup"/>
      <sheetName val="Phase Summary"/>
      <sheetName val="Sensitivity"/>
    </sheetNames>
    <sheetDataSet>
      <sheetData sheetId="0">
        <row r="4">
          <cell r="B4">
            <v>90</v>
          </cell>
        </row>
        <row r="5">
          <cell r="B5">
            <v>457</v>
          </cell>
        </row>
      </sheetData>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F0CD2-EEAE-4FBD-8324-8119AABDACC7}">
  <dimension ref="A2:C17"/>
  <sheetViews>
    <sheetView tabSelected="1" workbookViewId="0">
      <selection activeCell="F9" sqref="F9"/>
    </sheetView>
  </sheetViews>
  <sheetFormatPr defaultRowHeight="14.4" x14ac:dyDescent="0.3"/>
  <cols>
    <col min="1" max="1" width="29.77734375" customWidth="1"/>
    <col min="2" max="2" width="18.5546875" customWidth="1"/>
    <col min="3" max="3" width="31.77734375" customWidth="1"/>
  </cols>
  <sheetData>
    <row r="2" spans="1:3" ht="27.6" x14ac:dyDescent="0.3">
      <c r="A2" s="12" t="s">
        <v>8</v>
      </c>
      <c r="B2" s="13" t="s">
        <v>9</v>
      </c>
      <c r="C2" s="13" t="s">
        <v>10</v>
      </c>
    </row>
    <row r="3" spans="1:3" x14ac:dyDescent="0.3">
      <c r="A3" s="9" t="s">
        <v>11</v>
      </c>
      <c r="B3" s="10" t="s">
        <v>12</v>
      </c>
      <c r="C3" s="10" t="s">
        <v>45</v>
      </c>
    </row>
    <row r="4" spans="1:3" x14ac:dyDescent="0.3">
      <c r="A4" s="9" t="s">
        <v>13</v>
      </c>
      <c r="B4" s="10" t="s">
        <v>12</v>
      </c>
      <c r="C4" s="10"/>
    </row>
    <row r="5" spans="1:3" x14ac:dyDescent="0.3">
      <c r="A5" s="9" t="s">
        <v>14</v>
      </c>
      <c r="B5" s="10" t="s">
        <v>12</v>
      </c>
      <c r="C5" s="11" t="s">
        <v>15</v>
      </c>
    </row>
    <row r="6" spans="1:3" x14ac:dyDescent="0.3">
      <c r="A6" s="9" t="s">
        <v>16</v>
      </c>
      <c r="B6" s="10" t="s">
        <v>12</v>
      </c>
      <c r="C6" s="10" t="s">
        <v>17</v>
      </c>
    </row>
    <row r="7" spans="1:3" x14ac:dyDescent="0.3">
      <c r="A7" s="9" t="s">
        <v>18</v>
      </c>
      <c r="B7" s="10" t="s">
        <v>1</v>
      </c>
      <c r="C7" s="10" t="s">
        <v>19</v>
      </c>
    </row>
    <row r="8" spans="1:3" x14ac:dyDescent="0.3">
      <c r="A8" s="9" t="s">
        <v>20</v>
      </c>
      <c r="B8" s="10" t="s">
        <v>21</v>
      </c>
      <c r="C8" s="10" t="s">
        <v>22</v>
      </c>
    </row>
    <row r="9" spans="1:3" ht="28.2" customHeight="1" x14ac:dyDescent="0.3">
      <c r="A9" s="11" t="s">
        <v>41</v>
      </c>
      <c r="B9" s="10" t="s">
        <v>23</v>
      </c>
      <c r="C9" s="10" t="s">
        <v>24</v>
      </c>
    </row>
    <row r="10" spans="1:3" ht="27.6" x14ac:dyDescent="0.3">
      <c r="A10" s="11" t="s">
        <v>1</v>
      </c>
      <c r="B10" s="10" t="s">
        <v>25</v>
      </c>
      <c r="C10" s="10" t="s">
        <v>26</v>
      </c>
    </row>
    <row r="11" spans="1:3" ht="27.6" x14ac:dyDescent="0.3">
      <c r="A11" s="11" t="s">
        <v>5</v>
      </c>
      <c r="B11" s="10" t="s">
        <v>27</v>
      </c>
      <c r="C11" s="10" t="s">
        <v>28</v>
      </c>
    </row>
    <row r="12" spans="1:3" ht="27.6" x14ac:dyDescent="0.3">
      <c r="A12" s="11" t="s">
        <v>42</v>
      </c>
      <c r="B12" s="10" t="s">
        <v>29</v>
      </c>
      <c r="C12" s="10" t="s">
        <v>30</v>
      </c>
    </row>
    <row r="13" spans="1:3" x14ac:dyDescent="0.3">
      <c r="A13" s="11" t="s">
        <v>43</v>
      </c>
      <c r="B13" s="10" t="s">
        <v>29</v>
      </c>
      <c r="C13" s="10" t="s">
        <v>31</v>
      </c>
    </row>
    <row r="14" spans="1:3" x14ac:dyDescent="0.3">
      <c r="A14" s="11" t="s">
        <v>44</v>
      </c>
      <c r="B14" s="10" t="s">
        <v>29</v>
      </c>
      <c r="C14" s="10" t="s">
        <v>32</v>
      </c>
    </row>
    <row r="15" spans="1:3" ht="41.4" x14ac:dyDescent="0.3">
      <c r="A15" s="11" t="s">
        <v>33</v>
      </c>
      <c r="B15" s="10" t="s">
        <v>34</v>
      </c>
      <c r="C15" s="10" t="s">
        <v>35</v>
      </c>
    </row>
    <row r="16" spans="1:3" ht="27.6" x14ac:dyDescent="0.3">
      <c r="A16" s="11" t="s">
        <v>36</v>
      </c>
      <c r="B16" s="10" t="s">
        <v>37</v>
      </c>
      <c r="C16" s="10" t="s">
        <v>38</v>
      </c>
    </row>
    <row r="17" spans="1:3" ht="27.6" x14ac:dyDescent="0.3">
      <c r="A17" s="14" t="s">
        <v>39</v>
      </c>
      <c r="B17" s="15" t="s">
        <v>12</v>
      </c>
      <c r="C17" s="15"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F9DF8-D04E-4C10-8C75-F69C3D75E78B}">
  <dimension ref="A1:G542"/>
  <sheetViews>
    <sheetView workbookViewId="0">
      <selection activeCell="Q3" sqref="Q3"/>
    </sheetView>
  </sheetViews>
  <sheetFormatPr defaultRowHeight="14.4" x14ac:dyDescent="0.3"/>
  <cols>
    <col min="1" max="1" width="4.109375" bestFit="1" customWidth="1"/>
    <col min="2" max="2" width="13" hidden="1" customWidth="1"/>
    <col min="3" max="3" width="7.88671875" bestFit="1" customWidth="1"/>
    <col min="4" max="4" width="12.33203125" bestFit="1" customWidth="1"/>
    <col min="5" max="5" width="10.6640625" bestFit="1" customWidth="1"/>
    <col min="6" max="6" width="14.88671875" bestFit="1" customWidth="1"/>
    <col min="7" max="7" width="11" customWidth="1"/>
  </cols>
  <sheetData>
    <row r="1" spans="1:7" ht="91.8" customHeight="1" x14ac:dyDescent="0.3">
      <c r="A1" s="7" t="s">
        <v>7</v>
      </c>
      <c r="B1" s="8"/>
      <c r="C1" s="8"/>
      <c r="D1" s="8"/>
      <c r="E1" s="8"/>
      <c r="F1" s="8"/>
      <c r="G1" s="8"/>
    </row>
    <row r="2" spans="1:7" ht="26.4" x14ac:dyDescent="0.3">
      <c r="A2" s="1" t="s">
        <v>0</v>
      </c>
      <c r="B2" s="1" t="s">
        <v>1</v>
      </c>
      <c r="C2" s="1" t="s">
        <v>2</v>
      </c>
      <c r="D2" s="1" t="s">
        <v>3</v>
      </c>
      <c r="E2" s="1" t="s">
        <v>4</v>
      </c>
      <c r="F2" s="1" t="s">
        <v>5</v>
      </c>
      <c r="G2" s="2" t="s">
        <v>6</v>
      </c>
    </row>
    <row r="3" spans="1:7" x14ac:dyDescent="0.3">
      <c r="A3" s="3">
        <v>1</v>
      </c>
      <c r="B3" s="4">
        <v>45295</v>
      </c>
      <c r="C3" s="5">
        <v>0</v>
      </c>
      <c r="D3" s="5">
        <v>1577.5</v>
      </c>
      <c r="E3" s="5">
        <v>1005.09</v>
      </c>
      <c r="F3" s="3" t="str">
        <f>IF(A3&lt;=[1]Assumptions!$B$4,"Commissioning",IF(A3&lt;=[1]Assumptions!$B$5,"Handover","Recommissioning"))</f>
        <v>Commissioning</v>
      </c>
      <c r="G3" s="6" t="str">
        <f t="shared" ref="G3:G66" si="0">YEAR(B3)&amp;"-"&amp;TEXT(MONTH(B3),"00")</f>
        <v>2024-01</v>
      </c>
    </row>
    <row r="4" spans="1:7" x14ac:dyDescent="0.3">
      <c r="A4" s="3">
        <v>2</v>
      </c>
      <c r="B4" s="4">
        <v>45296</v>
      </c>
      <c r="C4" s="5">
        <v>0</v>
      </c>
      <c r="D4" s="5">
        <v>1571.32</v>
      </c>
      <c r="E4" s="5">
        <v>973.63</v>
      </c>
      <c r="F4" s="3" t="str">
        <f>IF(A4&lt;=[1]Assumptions!$B$4,"Commissioning",IF(A4&lt;=[1]Assumptions!$B$5,"Handover","Recommissioning"))</f>
        <v>Commissioning</v>
      </c>
      <c r="G4" s="6" t="str">
        <f t="shared" si="0"/>
        <v>2024-01</v>
      </c>
    </row>
    <row r="5" spans="1:7" x14ac:dyDescent="0.3">
      <c r="A5" s="3">
        <v>3</v>
      </c>
      <c r="B5" s="4">
        <v>45297</v>
      </c>
      <c r="C5" s="5">
        <v>0</v>
      </c>
      <c r="D5" s="5">
        <v>1614.12</v>
      </c>
      <c r="E5" s="5">
        <v>977.66</v>
      </c>
      <c r="F5" s="3" t="str">
        <f>IF(A5&lt;=[1]Assumptions!$B$4,"Commissioning",IF(A5&lt;=[1]Assumptions!$B$5,"Handover","Recommissioning"))</f>
        <v>Commissioning</v>
      </c>
      <c r="G5" s="6" t="str">
        <f t="shared" si="0"/>
        <v>2024-01</v>
      </c>
    </row>
    <row r="6" spans="1:7" x14ac:dyDescent="0.3">
      <c r="A6" s="3">
        <v>4</v>
      </c>
      <c r="B6" s="4">
        <v>45298</v>
      </c>
      <c r="C6" s="5">
        <v>0</v>
      </c>
      <c r="D6" s="5">
        <v>1694.61</v>
      </c>
      <c r="E6" s="5">
        <v>1008.56</v>
      </c>
      <c r="F6" s="3" t="str">
        <f>IF(A6&lt;=[1]Assumptions!$B$4,"Commissioning",IF(A6&lt;=[1]Assumptions!$B$5,"Handover","Recommissioning"))</f>
        <v>Commissioning</v>
      </c>
      <c r="G6" s="6" t="str">
        <f t="shared" si="0"/>
        <v>2024-01</v>
      </c>
    </row>
    <row r="7" spans="1:7" x14ac:dyDescent="0.3">
      <c r="A7" s="3">
        <v>5</v>
      </c>
      <c r="B7" s="4">
        <v>45299</v>
      </c>
      <c r="C7" s="5">
        <v>0</v>
      </c>
      <c r="D7" s="5">
        <v>1611.92</v>
      </c>
      <c r="E7" s="5">
        <v>1005.35</v>
      </c>
      <c r="F7" s="3" t="str">
        <f>IF(A7&lt;=[1]Assumptions!$B$4,"Commissioning",IF(A7&lt;=[1]Assumptions!$B$5,"Handover","Recommissioning"))</f>
        <v>Commissioning</v>
      </c>
      <c r="G7" s="6" t="str">
        <f t="shared" si="0"/>
        <v>2024-01</v>
      </c>
    </row>
    <row r="8" spans="1:7" x14ac:dyDescent="0.3">
      <c r="A8" s="3">
        <v>6</v>
      </c>
      <c r="B8" s="4">
        <v>45300</v>
      </c>
      <c r="C8" s="5">
        <v>0</v>
      </c>
      <c r="D8" s="5">
        <v>1576.03</v>
      </c>
      <c r="E8" s="5">
        <v>979.7</v>
      </c>
      <c r="F8" s="3" t="str">
        <f>IF(A8&lt;=[1]Assumptions!$B$4,"Commissioning",IF(A8&lt;=[1]Assumptions!$B$5,"Handover","Recommissioning"))</f>
        <v>Commissioning</v>
      </c>
      <c r="G8" s="6" t="str">
        <f t="shared" si="0"/>
        <v>2024-01</v>
      </c>
    </row>
    <row r="9" spans="1:7" x14ac:dyDescent="0.3">
      <c r="A9" s="3">
        <v>7</v>
      </c>
      <c r="B9" s="4">
        <v>45301</v>
      </c>
      <c r="C9" s="5">
        <v>0</v>
      </c>
      <c r="D9" s="5">
        <v>1575.18</v>
      </c>
      <c r="E9" s="5">
        <v>1000.1</v>
      </c>
      <c r="F9" s="3" t="str">
        <f>IF(A9&lt;=[1]Assumptions!$B$4,"Commissioning",IF(A9&lt;=[1]Assumptions!$B$5,"Handover","Recommissioning"))</f>
        <v>Commissioning</v>
      </c>
      <c r="G9" s="6" t="str">
        <f t="shared" si="0"/>
        <v>2024-01</v>
      </c>
    </row>
    <row r="10" spans="1:7" x14ac:dyDescent="0.3">
      <c r="A10" s="3">
        <v>8</v>
      </c>
      <c r="B10" s="4">
        <v>45302</v>
      </c>
      <c r="C10" s="5">
        <v>0</v>
      </c>
      <c r="D10" s="5">
        <v>1584.2</v>
      </c>
      <c r="E10" s="5">
        <v>966.26</v>
      </c>
      <c r="F10" s="3" t="str">
        <f>IF(A10&lt;=[1]Assumptions!$B$4,"Commissioning",IF(A10&lt;=[1]Assumptions!$B$5,"Handover","Recommissioning"))</f>
        <v>Commissioning</v>
      </c>
      <c r="G10" s="6" t="str">
        <f t="shared" si="0"/>
        <v>2024-01</v>
      </c>
    </row>
    <row r="11" spans="1:7" x14ac:dyDescent="0.3">
      <c r="A11" s="3">
        <v>9</v>
      </c>
      <c r="B11" s="4">
        <v>45303</v>
      </c>
      <c r="C11" s="5">
        <v>0</v>
      </c>
      <c r="D11" s="5">
        <v>1674.36</v>
      </c>
      <c r="E11" s="5">
        <v>997.25</v>
      </c>
      <c r="F11" s="3" t="str">
        <f>IF(A11&lt;=[1]Assumptions!$B$4,"Commissioning",IF(A11&lt;=[1]Assumptions!$B$5,"Handover","Recommissioning"))</f>
        <v>Commissioning</v>
      </c>
      <c r="G11" s="6" t="str">
        <f t="shared" si="0"/>
        <v>2024-01</v>
      </c>
    </row>
    <row r="12" spans="1:7" x14ac:dyDescent="0.3">
      <c r="A12" s="3">
        <v>10</v>
      </c>
      <c r="B12" s="4">
        <v>45304</v>
      </c>
      <c r="C12" s="5">
        <v>0</v>
      </c>
      <c r="D12" s="5">
        <v>1620.03</v>
      </c>
      <c r="E12" s="5">
        <v>991.91</v>
      </c>
      <c r="F12" s="3" t="str">
        <f>IF(A12&lt;=[1]Assumptions!$B$4,"Commissioning",IF(A12&lt;=[1]Assumptions!$B$5,"Handover","Recommissioning"))</f>
        <v>Commissioning</v>
      </c>
      <c r="G12" s="6" t="str">
        <f t="shared" si="0"/>
        <v>2024-01</v>
      </c>
    </row>
    <row r="13" spans="1:7" x14ac:dyDescent="0.3">
      <c r="A13" s="3">
        <v>11</v>
      </c>
      <c r="B13" s="4">
        <v>45305</v>
      </c>
      <c r="C13" s="5">
        <v>0</v>
      </c>
      <c r="D13" s="5">
        <v>1608.63</v>
      </c>
      <c r="E13" s="5">
        <v>989.79</v>
      </c>
      <c r="F13" s="3" t="str">
        <f>IF(A13&lt;=[1]Assumptions!$B$4,"Commissioning",IF(A13&lt;=[1]Assumptions!$B$5,"Handover","Recommissioning"))</f>
        <v>Commissioning</v>
      </c>
      <c r="G13" s="6" t="str">
        <f t="shared" si="0"/>
        <v>2024-01</v>
      </c>
    </row>
    <row r="14" spans="1:7" x14ac:dyDescent="0.3">
      <c r="A14" s="3">
        <v>12</v>
      </c>
      <c r="B14" s="4">
        <v>45306</v>
      </c>
      <c r="C14" s="5">
        <v>0</v>
      </c>
      <c r="D14" s="5">
        <v>1710.99</v>
      </c>
      <c r="E14" s="5">
        <v>974.71</v>
      </c>
      <c r="F14" s="3" t="str">
        <f>IF(A14&lt;=[1]Assumptions!$B$4,"Commissioning",IF(A14&lt;=[1]Assumptions!$B$5,"Handover","Recommissioning"))</f>
        <v>Commissioning</v>
      </c>
      <c r="G14" s="6" t="str">
        <f t="shared" si="0"/>
        <v>2024-01</v>
      </c>
    </row>
    <row r="15" spans="1:7" x14ac:dyDescent="0.3">
      <c r="A15" s="3">
        <v>13</v>
      </c>
      <c r="B15" s="4">
        <v>45307</v>
      </c>
      <c r="C15" s="5">
        <v>0</v>
      </c>
      <c r="D15" s="5">
        <v>1582.23</v>
      </c>
      <c r="E15" s="5">
        <v>986.58</v>
      </c>
      <c r="F15" s="3" t="str">
        <f>IF(A15&lt;=[1]Assumptions!$B$4,"Commissioning",IF(A15&lt;=[1]Assumptions!$B$5,"Handover","Recommissioning"))</f>
        <v>Commissioning</v>
      </c>
      <c r="G15" s="6" t="str">
        <f t="shared" si="0"/>
        <v>2024-01</v>
      </c>
    </row>
    <row r="16" spans="1:7" x14ac:dyDescent="0.3">
      <c r="A16" s="3">
        <v>14</v>
      </c>
      <c r="B16" s="4">
        <v>45308</v>
      </c>
      <c r="C16" s="5">
        <v>0</v>
      </c>
      <c r="D16" s="5">
        <v>1713.5</v>
      </c>
      <c r="E16" s="5">
        <v>1006.66</v>
      </c>
      <c r="F16" s="3" t="str">
        <f>IF(A16&lt;=[1]Assumptions!$B$4,"Commissioning",IF(A16&lt;=[1]Assumptions!$B$5,"Handover","Recommissioning"))</f>
        <v>Commissioning</v>
      </c>
      <c r="G16" s="6" t="str">
        <f t="shared" si="0"/>
        <v>2024-01</v>
      </c>
    </row>
    <row r="17" spans="1:7" x14ac:dyDescent="0.3">
      <c r="A17" s="3">
        <v>15</v>
      </c>
      <c r="B17" s="4">
        <v>45309</v>
      </c>
      <c r="C17" s="5">
        <v>0</v>
      </c>
      <c r="D17" s="5">
        <v>1691.98</v>
      </c>
      <c r="E17" s="5">
        <v>987.56</v>
      </c>
      <c r="F17" s="3" t="str">
        <f>IF(A17&lt;=[1]Assumptions!$B$4,"Commissioning",IF(A17&lt;=[1]Assumptions!$B$5,"Handover","Recommissioning"))</f>
        <v>Commissioning</v>
      </c>
      <c r="G17" s="6" t="str">
        <f t="shared" si="0"/>
        <v>2024-01</v>
      </c>
    </row>
    <row r="18" spans="1:7" x14ac:dyDescent="0.3">
      <c r="A18" s="3">
        <v>16</v>
      </c>
      <c r="B18" s="4">
        <v>45310</v>
      </c>
      <c r="C18" s="5">
        <v>0</v>
      </c>
      <c r="D18" s="5">
        <v>1662.37</v>
      </c>
      <c r="E18" s="5">
        <v>974.07</v>
      </c>
      <c r="F18" s="3" t="str">
        <f>IF(A18&lt;=[1]Assumptions!$B$4,"Commissioning",IF(A18&lt;=[1]Assumptions!$B$5,"Handover","Recommissioning"))</f>
        <v>Commissioning</v>
      </c>
      <c r="G18" s="6" t="str">
        <f t="shared" si="0"/>
        <v>2024-01</v>
      </c>
    </row>
    <row r="19" spans="1:7" x14ac:dyDescent="0.3">
      <c r="A19" s="3">
        <v>17</v>
      </c>
      <c r="B19" s="4">
        <v>45311</v>
      </c>
      <c r="C19" s="5">
        <v>0</v>
      </c>
      <c r="D19" s="5">
        <v>1622.47</v>
      </c>
      <c r="E19" s="5">
        <v>975.75</v>
      </c>
      <c r="F19" s="3" t="str">
        <f>IF(A19&lt;=[1]Assumptions!$B$4,"Commissioning",IF(A19&lt;=[1]Assumptions!$B$5,"Handover","Recommissioning"))</f>
        <v>Commissioning</v>
      </c>
      <c r="G19" s="6" t="str">
        <f t="shared" si="0"/>
        <v>2024-01</v>
      </c>
    </row>
    <row r="20" spans="1:7" x14ac:dyDescent="0.3">
      <c r="A20" s="3">
        <v>18</v>
      </c>
      <c r="B20" s="4">
        <v>45312</v>
      </c>
      <c r="C20" s="5">
        <v>0</v>
      </c>
      <c r="D20" s="5">
        <v>1683.78</v>
      </c>
      <c r="E20" s="5">
        <v>988.44</v>
      </c>
      <c r="F20" s="3" t="str">
        <f>IF(A20&lt;=[1]Assumptions!$B$4,"Commissioning",IF(A20&lt;=[1]Assumptions!$B$5,"Handover","Recommissioning"))</f>
        <v>Commissioning</v>
      </c>
      <c r="G20" s="6" t="str">
        <f t="shared" si="0"/>
        <v>2024-01</v>
      </c>
    </row>
    <row r="21" spans="1:7" x14ac:dyDescent="0.3">
      <c r="A21" s="3">
        <v>19</v>
      </c>
      <c r="B21" s="4">
        <v>45313</v>
      </c>
      <c r="C21" s="5">
        <v>0</v>
      </c>
      <c r="D21" s="5">
        <v>1630.71</v>
      </c>
      <c r="E21" s="5">
        <v>970.83</v>
      </c>
      <c r="F21" s="3" t="str">
        <f>IF(A21&lt;=[1]Assumptions!$B$4,"Commissioning",IF(A21&lt;=[1]Assumptions!$B$5,"Handover","Recommissioning"))</f>
        <v>Commissioning</v>
      </c>
      <c r="G21" s="6" t="str">
        <f t="shared" si="0"/>
        <v>2024-01</v>
      </c>
    </row>
    <row r="22" spans="1:7" x14ac:dyDescent="0.3">
      <c r="A22" s="3">
        <v>20</v>
      </c>
      <c r="B22" s="4">
        <v>45314</v>
      </c>
      <c r="C22" s="5">
        <v>0</v>
      </c>
      <c r="D22" s="5">
        <v>1617.52</v>
      </c>
      <c r="E22" s="5">
        <v>973.65</v>
      </c>
      <c r="F22" s="3" t="str">
        <f>IF(A22&lt;=[1]Assumptions!$B$4,"Commissioning",IF(A22&lt;=[1]Assumptions!$B$5,"Handover","Recommissioning"))</f>
        <v>Commissioning</v>
      </c>
      <c r="G22" s="6" t="str">
        <f t="shared" si="0"/>
        <v>2024-01</v>
      </c>
    </row>
    <row r="23" spans="1:7" x14ac:dyDescent="0.3">
      <c r="A23" s="3">
        <v>21</v>
      </c>
      <c r="B23" s="4">
        <v>45315</v>
      </c>
      <c r="C23" s="5">
        <v>0</v>
      </c>
      <c r="D23" s="5">
        <v>1668.32</v>
      </c>
      <c r="E23" s="5">
        <v>982.21</v>
      </c>
      <c r="F23" s="3" t="str">
        <f>IF(A23&lt;=[1]Assumptions!$B$4,"Commissioning",IF(A23&lt;=[1]Assumptions!$B$5,"Handover","Recommissioning"))</f>
        <v>Commissioning</v>
      </c>
      <c r="G23" s="6" t="str">
        <f t="shared" si="0"/>
        <v>2024-01</v>
      </c>
    </row>
    <row r="24" spans="1:7" x14ac:dyDescent="0.3">
      <c r="A24" s="3">
        <v>22</v>
      </c>
      <c r="B24" s="4">
        <v>45316</v>
      </c>
      <c r="C24" s="5">
        <v>0</v>
      </c>
      <c r="D24" s="5">
        <v>1641.86</v>
      </c>
      <c r="E24" s="5">
        <v>995.86</v>
      </c>
      <c r="F24" s="3" t="str">
        <f>IF(A24&lt;=[1]Assumptions!$B$4,"Commissioning",IF(A24&lt;=[1]Assumptions!$B$5,"Handover","Recommissioning"))</f>
        <v>Commissioning</v>
      </c>
      <c r="G24" s="6" t="str">
        <f t="shared" si="0"/>
        <v>2024-01</v>
      </c>
    </row>
    <row r="25" spans="1:7" x14ac:dyDescent="0.3">
      <c r="A25" s="3">
        <v>23</v>
      </c>
      <c r="B25" s="4">
        <v>45317</v>
      </c>
      <c r="C25" s="5">
        <v>0</v>
      </c>
      <c r="D25" s="5">
        <v>1596.26</v>
      </c>
      <c r="E25" s="5">
        <v>1009.06</v>
      </c>
      <c r="F25" s="3" t="str">
        <f>IF(A25&lt;=[1]Assumptions!$B$4,"Commissioning",IF(A25&lt;=[1]Assumptions!$B$5,"Handover","Recommissioning"))</f>
        <v>Commissioning</v>
      </c>
      <c r="G25" s="6" t="str">
        <f t="shared" si="0"/>
        <v>2024-01</v>
      </c>
    </row>
    <row r="26" spans="1:7" x14ac:dyDescent="0.3">
      <c r="A26" s="3">
        <v>24</v>
      </c>
      <c r="B26" s="4">
        <v>45318</v>
      </c>
      <c r="C26" s="5">
        <v>0</v>
      </c>
      <c r="D26" s="5">
        <v>1611.97</v>
      </c>
      <c r="E26" s="5">
        <v>1010.81</v>
      </c>
      <c r="F26" s="3" t="str">
        <f>IF(A26&lt;=[1]Assumptions!$B$4,"Commissioning",IF(A26&lt;=[1]Assumptions!$B$5,"Handover","Recommissioning"))</f>
        <v>Commissioning</v>
      </c>
      <c r="G26" s="6" t="str">
        <f t="shared" si="0"/>
        <v>2024-01</v>
      </c>
    </row>
    <row r="27" spans="1:7" x14ac:dyDescent="0.3">
      <c r="A27" s="3">
        <v>25</v>
      </c>
      <c r="B27" s="4">
        <v>45319</v>
      </c>
      <c r="C27" s="5">
        <v>0</v>
      </c>
      <c r="D27" s="5">
        <v>1617.8</v>
      </c>
      <c r="E27" s="5">
        <v>976.3</v>
      </c>
      <c r="F27" s="3" t="str">
        <f>IF(A27&lt;=[1]Assumptions!$B$4,"Commissioning",IF(A27&lt;=[1]Assumptions!$B$5,"Handover","Recommissioning"))</f>
        <v>Commissioning</v>
      </c>
      <c r="G27" s="6" t="str">
        <f t="shared" si="0"/>
        <v>2024-01</v>
      </c>
    </row>
    <row r="28" spans="1:7" x14ac:dyDescent="0.3">
      <c r="A28" s="3">
        <v>26</v>
      </c>
      <c r="B28" s="4">
        <v>45320</v>
      </c>
      <c r="C28" s="5">
        <v>0</v>
      </c>
      <c r="D28" s="5">
        <v>1565.19</v>
      </c>
      <c r="E28" s="5">
        <v>967.47</v>
      </c>
      <c r="F28" s="3" t="str">
        <f>IF(A28&lt;=[1]Assumptions!$B$4,"Commissioning",IF(A28&lt;=[1]Assumptions!$B$5,"Handover","Recommissioning"))</f>
        <v>Commissioning</v>
      </c>
      <c r="G28" s="6" t="str">
        <f t="shared" si="0"/>
        <v>2024-01</v>
      </c>
    </row>
    <row r="29" spans="1:7" x14ac:dyDescent="0.3">
      <c r="A29" s="3">
        <v>27</v>
      </c>
      <c r="B29" s="4">
        <v>45321</v>
      </c>
      <c r="C29" s="5">
        <v>0</v>
      </c>
      <c r="D29" s="5">
        <v>1660.91</v>
      </c>
      <c r="E29" s="5">
        <v>977.91</v>
      </c>
      <c r="F29" s="3" t="str">
        <f>IF(A29&lt;=[1]Assumptions!$B$4,"Commissioning",IF(A29&lt;=[1]Assumptions!$B$5,"Handover","Recommissioning"))</f>
        <v>Commissioning</v>
      </c>
      <c r="G29" s="6" t="str">
        <f t="shared" si="0"/>
        <v>2024-01</v>
      </c>
    </row>
    <row r="30" spans="1:7" x14ac:dyDescent="0.3">
      <c r="A30" s="3">
        <v>28</v>
      </c>
      <c r="B30" s="4">
        <v>45322</v>
      </c>
      <c r="C30" s="5">
        <v>0</v>
      </c>
      <c r="D30" s="5">
        <v>1640.15</v>
      </c>
      <c r="E30" s="5">
        <v>1009.37</v>
      </c>
      <c r="F30" s="3" t="str">
        <f>IF(A30&lt;=[1]Assumptions!$B$4,"Commissioning",IF(A30&lt;=[1]Assumptions!$B$5,"Handover","Recommissioning"))</f>
        <v>Commissioning</v>
      </c>
      <c r="G30" s="6" t="str">
        <f t="shared" si="0"/>
        <v>2024-01</v>
      </c>
    </row>
    <row r="31" spans="1:7" x14ac:dyDescent="0.3">
      <c r="A31" s="3">
        <v>29</v>
      </c>
      <c r="B31" s="4">
        <v>45323</v>
      </c>
      <c r="C31" s="5">
        <v>0</v>
      </c>
      <c r="D31" s="5">
        <v>1614.67</v>
      </c>
      <c r="E31" s="5">
        <v>957.78</v>
      </c>
      <c r="F31" s="3" t="str">
        <f>IF(A31&lt;=[1]Assumptions!$B$4,"Commissioning",IF(A31&lt;=[1]Assumptions!$B$5,"Handover","Recommissioning"))</f>
        <v>Commissioning</v>
      </c>
      <c r="G31" s="6" t="str">
        <f t="shared" si="0"/>
        <v>2024-02</v>
      </c>
    </row>
    <row r="32" spans="1:7" x14ac:dyDescent="0.3">
      <c r="A32" s="3">
        <v>30</v>
      </c>
      <c r="B32" s="4">
        <v>45324</v>
      </c>
      <c r="C32" s="5">
        <v>0</v>
      </c>
      <c r="D32" s="5">
        <v>1661.09</v>
      </c>
      <c r="E32" s="5">
        <v>981.51</v>
      </c>
      <c r="F32" s="3" t="str">
        <f>IF(A32&lt;=[1]Assumptions!$B$4,"Commissioning",IF(A32&lt;=[1]Assumptions!$B$5,"Handover","Recommissioning"))</f>
        <v>Commissioning</v>
      </c>
      <c r="G32" s="6" t="str">
        <f t="shared" si="0"/>
        <v>2024-02</v>
      </c>
    </row>
    <row r="33" spans="1:7" x14ac:dyDescent="0.3">
      <c r="A33" s="3">
        <v>31</v>
      </c>
      <c r="B33" s="4">
        <v>45325</v>
      </c>
      <c r="C33" s="5">
        <v>0</v>
      </c>
      <c r="D33" s="5">
        <v>1705.84</v>
      </c>
      <c r="E33" s="5">
        <v>1005.04</v>
      </c>
      <c r="F33" s="3" t="str">
        <f>IF(A33&lt;=[1]Assumptions!$B$4,"Commissioning",IF(A33&lt;=[1]Assumptions!$B$5,"Handover","Recommissioning"))</f>
        <v>Commissioning</v>
      </c>
      <c r="G33" s="6" t="str">
        <f t="shared" si="0"/>
        <v>2024-02</v>
      </c>
    </row>
    <row r="34" spans="1:7" x14ac:dyDescent="0.3">
      <c r="A34" s="3">
        <v>32</v>
      </c>
      <c r="B34" s="4">
        <v>45326</v>
      </c>
      <c r="C34" s="5">
        <v>0</v>
      </c>
      <c r="D34" s="5">
        <v>1593.32</v>
      </c>
      <c r="E34" s="5">
        <v>988.18</v>
      </c>
      <c r="F34" s="3" t="str">
        <f>IF(A34&lt;=[1]Assumptions!$B$4,"Commissioning",IF(A34&lt;=[1]Assumptions!$B$5,"Handover","Recommissioning"))</f>
        <v>Commissioning</v>
      </c>
      <c r="G34" s="6" t="str">
        <f t="shared" si="0"/>
        <v>2024-02</v>
      </c>
    </row>
    <row r="35" spans="1:7" x14ac:dyDescent="0.3">
      <c r="A35" s="3">
        <v>33</v>
      </c>
      <c r="B35" s="4">
        <v>45327</v>
      </c>
      <c r="C35" s="5">
        <v>0</v>
      </c>
      <c r="D35" s="5">
        <v>1611.16</v>
      </c>
      <c r="E35" s="5">
        <v>955.52</v>
      </c>
      <c r="F35" s="3" t="str">
        <f>IF(A35&lt;=[1]Assumptions!$B$4,"Commissioning",IF(A35&lt;=[1]Assumptions!$B$5,"Handover","Recommissioning"))</f>
        <v>Commissioning</v>
      </c>
      <c r="G35" s="6" t="str">
        <f t="shared" si="0"/>
        <v>2024-02</v>
      </c>
    </row>
    <row r="36" spans="1:7" x14ac:dyDescent="0.3">
      <c r="A36" s="3">
        <v>34</v>
      </c>
      <c r="B36" s="4">
        <v>45328</v>
      </c>
      <c r="C36" s="5">
        <v>0</v>
      </c>
      <c r="D36" s="5">
        <v>1587.98</v>
      </c>
      <c r="E36" s="5">
        <v>982.64</v>
      </c>
      <c r="F36" s="3" t="str">
        <f>IF(A36&lt;=[1]Assumptions!$B$4,"Commissioning",IF(A36&lt;=[1]Assumptions!$B$5,"Handover","Recommissioning"))</f>
        <v>Commissioning</v>
      </c>
      <c r="G36" s="6" t="str">
        <f t="shared" si="0"/>
        <v>2024-02</v>
      </c>
    </row>
    <row r="37" spans="1:7" x14ac:dyDescent="0.3">
      <c r="A37" s="3">
        <v>35</v>
      </c>
      <c r="B37" s="4">
        <v>45329</v>
      </c>
      <c r="C37" s="5">
        <v>0</v>
      </c>
      <c r="D37" s="5">
        <v>1645.27</v>
      </c>
      <c r="E37" s="5">
        <v>984.02</v>
      </c>
      <c r="F37" s="3" t="str">
        <f>IF(A37&lt;=[1]Assumptions!$B$4,"Commissioning",IF(A37&lt;=[1]Assumptions!$B$5,"Handover","Recommissioning"))</f>
        <v>Commissioning</v>
      </c>
      <c r="G37" s="6" t="str">
        <f t="shared" si="0"/>
        <v>2024-02</v>
      </c>
    </row>
    <row r="38" spans="1:7" x14ac:dyDescent="0.3">
      <c r="A38" s="3">
        <v>36</v>
      </c>
      <c r="B38" s="4">
        <v>45330</v>
      </c>
      <c r="C38" s="5">
        <v>0</v>
      </c>
      <c r="D38" s="5">
        <v>1618.59</v>
      </c>
      <c r="E38" s="5">
        <v>987.46</v>
      </c>
      <c r="F38" s="3" t="str">
        <f>IF(A38&lt;=[1]Assumptions!$B$4,"Commissioning",IF(A38&lt;=[1]Assumptions!$B$5,"Handover","Recommissioning"))</f>
        <v>Commissioning</v>
      </c>
      <c r="G38" s="6" t="str">
        <f t="shared" si="0"/>
        <v>2024-02</v>
      </c>
    </row>
    <row r="39" spans="1:7" x14ac:dyDescent="0.3">
      <c r="A39" s="3">
        <v>37</v>
      </c>
      <c r="B39" s="4">
        <v>45331</v>
      </c>
      <c r="C39" s="5">
        <v>0</v>
      </c>
      <c r="D39" s="5">
        <v>1710.25</v>
      </c>
      <c r="E39" s="5">
        <v>1011.03</v>
      </c>
      <c r="F39" s="3" t="str">
        <f>IF(A39&lt;=[1]Assumptions!$B$4,"Commissioning",IF(A39&lt;=[1]Assumptions!$B$5,"Handover","Recommissioning"))</f>
        <v>Commissioning</v>
      </c>
      <c r="G39" s="6" t="str">
        <f t="shared" si="0"/>
        <v>2024-02</v>
      </c>
    </row>
    <row r="40" spans="1:7" x14ac:dyDescent="0.3">
      <c r="A40" s="3">
        <v>38</v>
      </c>
      <c r="B40" s="4">
        <v>45332</v>
      </c>
      <c r="C40" s="5">
        <v>0</v>
      </c>
      <c r="D40" s="5">
        <v>1575.77</v>
      </c>
      <c r="E40" s="5">
        <v>999.8</v>
      </c>
      <c r="F40" s="3" t="str">
        <f>IF(A40&lt;=[1]Assumptions!$B$4,"Commissioning",IF(A40&lt;=[1]Assumptions!$B$5,"Handover","Recommissioning"))</f>
        <v>Commissioning</v>
      </c>
      <c r="G40" s="6" t="str">
        <f t="shared" si="0"/>
        <v>2024-02</v>
      </c>
    </row>
    <row r="41" spans="1:7" x14ac:dyDescent="0.3">
      <c r="A41" s="3">
        <v>39</v>
      </c>
      <c r="B41" s="4">
        <v>45333</v>
      </c>
      <c r="C41" s="5">
        <v>0</v>
      </c>
      <c r="D41" s="5">
        <v>1574.15</v>
      </c>
      <c r="E41" s="5">
        <v>969.38</v>
      </c>
      <c r="F41" s="3" t="str">
        <f>IF(A41&lt;=[1]Assumptions!$B$4,"Commissioning",IF(A41&lt;=[1]Assumptions!$B$5,"Handover","Recommissioning"))</f>
        <v>Commissioning</v>
      </c>
      <c r="G41" s="6" t="str">
        <f t="shared" si="0"/>
        <v>2024-02</v>
      </c>
    </row>
    <row r="42" spans="1:7" x14ac:dyDescent="0.3">
      <c r="A42" s="3">
        <v>40</v>
      </c>
      <c r="B42" s="4">
        <v>45334</v>
      </c>
      <c r="C42" s="5">
        <v>0</v>
      </c>
      <c r="D42" s="5">
        <v>1606.4</v>
      </c>
      <c r="E42" s="5">
        <v>995.85</v>
      </c>
      <c r="F42" s="3" t="str">
        <f>IF(A42&lt;=[1]Assumptions!$B$4,"Commissioning",IF(A42&lt;=[1]Assumptions!$B$5,"Handover","Recommissioning"))</f>
        <v>Commissioning</v>
      </c>
      <c r="G42" s="6" t="str">
        <f t="shared" si="0"/>
        <v>2024-02</v>
      </c>
    </row>
    <row r="43" spans="1:7" x14ac:dyDescent="0.3">
      <c r="A43" s="3">
        <v>41</v>
      </c>
      <c r="B43" s="4">
        <v>45335</v>
      </c>
      <c r="C43" s="5">
        <v>0</v>
      </c>
      <c r="D43" s="5">
        <v>1707.17</v>
      </c>
      <c r="E43" s="5">
        <v>966.5</v>
      </c>
      <c r="F43" s="3" t="str">
        <f>IF(A43&lt;=[1]Assumptions!$B$4,"Commissioning",IF(A43&lt;=[1]Assumptions!$B$5,"Handover","Recommissioning"))</f>
        <v>Commissioning</v>
      </c>
      <c r="G43" s="6" t="str">
        <f t="shared" si="0"/>
        <v>2024-02</v>
      </c>
    </row>
    <row r="44" spans="1:7" x14ac:dyDescent="0.3">
      <c r="A44" s="3">
        <v>42</v>
      </c>
      <c r="B44" s="4">
        <v>45336</v>
      </c>
      <c r="C44" s="5">
        <v>0</v>
      </c>
      <c r="D44" s="5">
        <v>1605.88</v>
      </c>
      <c r="E44" s="5">
        <v>1010.28</v>
      </c>
      <c r="F44" s="3" t="str">
        <f>IF(A44&lt;=[1]Assumptions!$B$4,"Commissioning",IF(A44&lt;=[1]Assumptions!$B$5,"Handover","Recommissioning"))</f>
        <v>Commissioning</v>
      </c>
      <c r="G44" s="6" t="str">
        <f t="shared" si="0"/>
        <v>2024-02</v>
      </c>
    </row>
    <row r="45" spans="1:7" x14ac:dyDescent="0.3">
      <c r="A45" s="3">
        <v>43</v>
      </c>
      <c r="B45" s="4">
        <v>45337</v>
      </c>
      <c r="C45" s="5">
        <v>0</v>
      </c>
      <c r="D45" s="5">
        <v>1618.96</v>
      </c>
      <c r="E45" s="5">
        <v>986.39</v>
      </c>
      <c r="F45" s="3" t="str">
        <f>IF(A45&lt;=[1]Assumptions!$B$4,"Commissioning",IF(A45&lt;=[1]Assumptions!$B$5,"Handover","Recommissioning"))</f>
        <v>Commissioning</v>
      </c>
      <c r="G45" s="6" t="str">
        <f t="shared" si="0"/>
        <v>2024-02</v>
      </c>
    </row>
    <row r="46" spans="1:7" x14ac:dyDescent="0.3">
      <c r="A46" s="3">
        <v>44</v>
      </c>
      <c r="B46" s="4">
        <v>45338</v>
      </c>
      <c r="C46" s="5">
        <v>0</v>
      </c>
      <c r="D46" s="5">
        <v>1708.57</v>
      </c>
      <c r="E46" s="5">
        <v>973.36</v>
      </c>
      <c r="F46" s="3" t="str">
        <f>IF(A46&lt;=[1]Assumptions!$B$4,"Commissioning",IF(A46&lt;=[1]Assumptions!$B$5,"Handover","Recommissioning"))</f>
        <v>Commissioning</v>
      </c>
      <c r="G46" s="6" t="str">
        <f t="shared" si="0"/>
        <v>2024-02</v>
      </c>
    </row>
    <row r="47" spans="1:7" x14ac:dyDescent="0.3">
      <c r="A47" s="3">
        <v>45</v>
      </c>
      <c r="B47" s="4">
        <v>45339</v>
      </c>
      <c r="C47" s="5">
        <v>0</v>
      </c>
      <c r="D47" s="5">
        <v>1555.78</v>
      </c>
      <c r="E47" s="5">
        <v>981.45</v>
      </c>
      <c r="F47" s="3" t="str">
        <f>IF(A47&lt;=[1]Assumptions!$B$4,"Commissioning",IF(A47&lt;=[1]Assumptions!$B$5,"Handover","Recommissioning"))</f>
        <v>Commissioning</v>
      </c>
      <c r="G47" s="6" t="str">
        <f t="shared" si="0"/>
        <v>2024-02</v>
      </c>
    </row>
    <row r="48" spans="1:7" x14ac:dyDescent="0.3">
      <c r="A48" s="3">
        <v>46</v>
      </c>
      <c r="B48" s="4">
        <v>45340</v>
      </c>
      <c r="C48" s="5">
        <v>0</v>
      </c>
      <c r="D48" s="5">
        <v>1654.64</v>
      </c>
      <c r="E48" s="5">
        <v>961.66</v>
      </c>
      <c r="F48" s="3" t="str">
        <f>IF(A48&lt;=[1]Assumptions!$B$4,"Commissioning",IF(A48&lt;=[1]Assumptions!$B$5,"Handover","Recommissioning"))</f>
        <v>Commissioning</v>
      </c>
      <c r="G48" s="6" t="str">
        <f t="shared" si="0"/>
        <v>2024-02</v>
      </c>
    </row>
    <row r="49" spans="1:7" x14ac:dyDescent="0.3">
      <c r="A49" s="3">
        <v>47</v>
      </c>
      <c r="B49" s="4">
        <v>45341</v>
      </c>
      <c r="C49" s="5">
        <v>0</v>
      </c>
      <c r="D49" s="5">
        <v>1582.45</v>
      </c>
      <c r="E49" s="5">
        <v>1010.85</v>
      </c>
      <c r="F49" s="3" t="str">
        <f>IF(A49&lt;=[1]Assumptions!$B$4,"Commissioning",IF(A49&lt;=[1]Assumptions!$B$5,"Handover","Recommissioning"))</f>
        <v>Commissioning</v>
      </c>
      <c r="G49" s="6" t="str">
        <f t="shared" si="0"/>
        <v>2024-02</v>
      </c>
    </row>
    <row r="50" spans="1:7" x14ac:dyDescent="0.3">
      <c r="A50" s="3">
        <v>48</v>
      </c>
      <c r="B50" s="4">
        <v>45342</v>
      </c>
      <c r="C50" s="5">
        <v>0</v>
      </c>
      <c r="D50" s="5">
        <v>1596.67</v>
      </c>
      <c r="E50" s="5">
        <v>1003.32</v>
      </c>
      <c r="F50" s="3" t="str">
        <f>IF(A50&lt;=[1]Assumptions!$B$4,"Commissioning",IF(A50&lt;=[1]Assumptions!$B$5,"Handover","Recommissioning"))</f>
        <v>Commissioning</v>
      </c>
      <c r="G50" s="6" t="str">
        <f t="shared" si="0"/>
        <v>2024-02</v>
      </c>
    </row>
    <row r="51" spans="1:7" x14ac:dyDescent="0.3">
      <c r="A51" s="3">
        <v>49</v>
      </c>
      <c r="B51" s="4">
        <v>45343</v>
      </c>
      <c r="C51" s="5">
        <v>0</v>
      </c>
      <c r="D51" s="5">
        <v>1601.31</v>
      </c>
      <c r="E51" s="5">
        <v>998.88</v>
      </c>
      <c r="F51" s="3" t="str">
        <f>IF(A51&lt;=[1]Assumptions!$B$4,"Commissioning",IF(A51&lt;=[1]Assumptions!$B$5,"Handover","Recommissioning"))</f>
        <v>Commissioning</v>
      </c>
      <c r="G51" s="6" t="str">
        <f t="shared" si="0"/>
        <v>2024-02</v>
      </c>
    </row>
    <row r="52" spans="1:7" x14ac:dyDescent="0.3">
      <c r="A52" s="3">
        <v>50</v>
      </c>
      <c r="B52" s="4">
        <v>45344</v>
      </c>
      <c r="C52" s="5">
        <v>0</v>
      </c>
      <c r="D52" s="5">
        <v>1682.29</v>
      </c>
      <c r="E52" s="5">
        <v>977.21</v>
      </c>
      <c r="F52" s="3" t="str">
        <f>IF(A52&lt;=[1]Assumptions!$B$4,"Commissioning",IF(A52&lt;=[1]Assumptions!$B$5,"Handover","Recommissioning"))</f>
        <v>Commissioning</v>
      </c>
      <c r="G52" s="6" t="str">
        <f t="shared" si="0"/>
        <v>2024-02</v>
      </c>
    </row>
    <row r="53" spans="1:7" x14ac:dyDescent="0.3">
      <c r="A53" s="3">
        <v>51</v>
      </c>
      <c r="B53" s="4">
        <v>45345</v>
      </c>
      <c r="C53" s="5">
        <v>0</v>
      </c>
      <c r="D53" s="5">
        <v>1571.85</v>
      </c>
      <c r="E53" s="5">
        <v>974.33</v>
      </c>
      <c r="F53" s="3" t="str">
        <f>IF(A53&lt;=[1]Assumptions!$B$4,"Commissioning",IF(A53&lt;=[1]Assumptions!$B$5,"Handover","Recommissioning"))</f>
        <v>Commissioning</v>
      </c>
      <c r="G53" s="6" t="str">
        <f t="shared" si="0"/>
        <v>2024-02</v>
      </c>
    </row>
    <row r="54" spans="1:7" x14ac:dyDescent="0.3">
      <c r="A54" s="3">
        <v>52</v>
      </c>
      <c r="B54" s="4">
        <v>45346</v>
      </c>
      <c r="C54" s="5">
        <v>0</v>
      </c>
      <c r="D54" s="5">
        <v>1657.46</v>
      </c>
      <c r="E54" s="5">
        <v>982.79</v>
      </c>
      <c r="F54" s="3" t="str">
        <f>IF(A54&lt;=[1]Assumptions!$B$4,"Commissioning",IF(A54&lt;=[1]Assumptions!$B$5,"Handover","Recommissioning"))</f>
        <v>Commissioning</v>
      </c>
      <c r="G54" s="6" t="str">
        <f t="shared" si="0"/>
        <v>2024-02</v>
      </c>
    </row>
    <row r="55" spans="1:7" x14ac:dyDescent="0.3">
      <c r="A55" s="3">
        <v>53</v>
      </c>
      <c r="B55" s="4">
        <v>45347</v>
      </c>
      <c r="C55" s="5">
        <v>0</v>
      </c>
      <c r="D55" s="5">
        <v>1601.52</v>
      </c>
      <c r="E55" s="5">
        <v>995.34</v>
      </c>
      <c r="F55" s="3" t="str">
        <f>IF(A55&lt;=[1]Assumptions!$B$4,"Commissioning",IF(A55&lt;=[1]Assumptions!$B$5,"Handover","Recommissioning"))</f>
        <v>Commissioning</v>
      </c>
      <c r="G55" s="6" t="str">
        <f t="shared" si="0"/>
        <v>2024-02</v>
      </c>
    </row>
    <row r="56" spans="1:7" x14ac:dyDescent="0.3">
      <c r="A56" s="3">
        <v>54</v>
      </c>
      <c r="B56" s="4">
        <v>45348</v>
      </c>
      <c r="C56" s="5">
        <v>0</v>
      </c>
      <c r="D56" s="5">
        <v>1560.84</v>
      </c>
      <c r="E56" s="5">
        <v>1007.66</v>
      </c>
      <c r="F56" s="3" t="str">
        <f>IF(A56&lt;=[1]Assumptions!$B$4,"Commissioning",IF(A56&lt;=[1]Assumptions!$B$5,"Handover","Recommissioning"))</f>
        <v>Commissioning</v>
      </c>
      <c r="G56" s="6" t="str">
        <f t="shared" si="0"/>
        <v>2024-02</v>
      </c>
    </row>
    <row r="57" spans="1:7" x14ac:dyDescent="0.3">
      <c r="A57" s="3">
        <v>55</v>
      </c>
      <c r="B57" s="4">
        <v>45349</v>
      </c>
      <c r="C57" s="5">
        <v>0</v>
      </c>
      <c r="D57" s="5">
        <v>1585.53</v>
      </c>
      <c r="E57" s="5">
        <v>985.72</v>
      </c>
      <c r="F57" s="3" t="str">
        <f>IF(A57&lt;=[1]Assumptions!$B$4,"Commissioning",IF(A57&lt;=[1]Assumptions!$B$5,"Handover","Recommissioning"))</f>
        <v>Commissioning</v>
      </c>
      <c r="G57" s="6" t="str">
        <f t="shared" si="0"/>
        <v>2024-02</v>
      </c>
    </row>
    <row r="58" spans="1:7" x14ac:dyDescent="0.3">
      <c r="A58" s="3">
        <v>56</v>
      </c>
      <c r="B58" s="4">
        <v>45350</v>
      </c>
      <c r="C58" s="5">
        <v>0</v>
      </c>
      <c r="D58" s="5">
        <v>1655.02</v>
      </c>
      <c r="E58" s="5">
        <v>961.45</v>
      </c>
      <c r="F58" s="3" t="str">
        <f>IF(A58&lt;=[1]Assumptions!$B$4,"Commissioning",IF(A58&lt;=[1]Assumptions!$B$5,"Handover","Recommissioning"))</f>
        <v>Commissioning</v>
      </c>
      <c r="G58" s="6" t="str">
        <f t="shared" si="0"/>
        <v>2024-02</v>
      </c>
    </row>
    <row r="59" spans="1:7" x14ac:dyDescent="0.3">
      <c r="A59" s="3">
        <v>57</v>
      </c>
      <c r="B59" s="4">
        <v>45351</v>
      </c>
      <c r="C59" s="5">
        <v>0</v>
      </c>
      <c r="D59" s="5">
        <v>1698.14</v>
      </c>
      <c r="E59" s="5">
        <v>970</v>
      </c>
      <c r="F59" s="3" t="str">
        <f>IF(A59&lt;=[1]Assumptions!$B$4,"Commissioning",IF(A59&lt;=[1]Assumptions!$B$5,"Handover","Recommissioning"))</f>
        <v>Commissioning</v>
      </c>
      <c r="G59" s="6" t="str">
        <f t="shared" si="0"/>
        <v>2024-02</v>
      </c>
    </row>
    <row r="60" spans="1:7" x14ac:dyDescent="0.3">
      <c r="A60" s="3">
        <v>58</v>
      </c>
      <c r="B60" s="4">
        <v>45352</v>
      </c>
      <c r="C60" s="5">
        <v>0</v>
      </c>
      <c r="D60" s="5">
        <v>1624.41</v>
      </c>
      <c r="E60" s="5">
        <v>996.8</v>
      </c>
      <c r="F60" s="3" t="str">
        <f>IF(A60&lt;=[1]Assumptions!$B$4,"Commissioning",IF(A60&lt;=[1]Assumptions!$B$5,"Handover","Recommissioning"))</f>
        <v>Commissioning</v>
      </c>
      <c r="G60" s="6" t="str">
        <f t="shared" si="0"/>
        <v>2024-03</v>
      </c>
    </row>
    <row r="61" spans="1:7" x14ac:dyDescent="0.3">
      <c r="A61" s="3">
        <v>59</v>
      </c>
      <c r="B61" s="4">
        <v>45353</v>
      </c>
      <c r="C61" s="5">
        <v>0</v>
      </c>
      <c r="D61" s="5">
        <v>1613.25</v>
      </c>
      <c r="E61" s="5">
        <v>975.4</v>
      </c>
      <c r="F61" s="3" t="str">
        <f>IF(A61&lt;=[1]Assumptions!$B$4,"Commissioning",IF(A61&lt;=[1]Assumptions!$B$5,"Handover","Recommissioning"))</f>
        <v>Commissioning</v>
      </c>
      <c r="G61" s="6" t="str">
        <f t="shared" si="0"/>
        <v>2024-03</v>
      </c>
    </row>
    <row r="62" spans="1:7" x14ac:dyDescent="0.3">
      <c r="A62" s="3">
        <v>60</v>
      </c>
      <c r="B62" s="4">
        <v>45354</v>
      </c>
      <c r="C62" s="5">
        <v>0</v>
      </c>
      <c r="D62" s="5">
        <v>1667.7</v>
      </c>
      <c r="E62" s="5">
        <v>995.44</v>
      </c>
      <c r="F62" s="3" t="str">
        <f>IF(A62&lt;=[1]Assumptions!$B$4,"Commissioning",IF(A62&lt;=[1]Assumptions!$B$5,"Handover","Recommissioning"))</f>
        <v>Commissioning</v>
      </c>
      <c r="G62" s="6" t="str">
        <f t="shared" si="0"/>
        <v>2024-03</v>
      </c>
    </row>
    <row r="63" spans="1:7" x14ac:dyDescent="0.3">
      <c r="A63" s="3">
        <v>61</v>
      </c>
      <c r="B63" s="4">
        <v>45355</v>
      </c>
      <c r="C63" s="5">
        <v>0</v>
      </c>
      <c r="D63" s="5">
        <v>1605.49</v>
      </c>
      <c r="E63" s="5">
        <v>974.8</v>
      </c>
      <c r="F63" s="3" t="str">
        <f>IF(A63&lt;=[1]Assumptions!$B$4,"Commissioning",IF(A63&lt;=[1]Assumptions!$B$5,"Handover","Recommissioning"))</f>
        <v>Commissioning</v>
      </c>
      <c r="G63" s="6" t="str">
        <f t="shared" si="0"/>
        <v>2024-03</v>
      </c>
    </row>
    <row r="64" spans="1:7" x14ac:dyDescent="0.3">
      <c r="A64" s="3">
        <v>62</v>
      </c>
      <c r="B64" s="4">
        <v>45356</v>
      </c>
      <c r="C64" s="5">
        <v>0</v>
      </c>
      <c r="D64" s="5">
        <v>1589.38</v>
      </c>
      <c r="E64" s="5">
        <v>1005.09</v>
      </c>
      <c r="F64" s="3" t="str">
        <f>IF(A64&lt;=[1]Assumptions!$B$4,"Commissioning",IF(A64&lt;=[1]Assumptions!$B$5,"Handover","Recommissioning"))</f>
        <v>Commissioning</v>
      </c>
      <c r="G64" s="6" t="str">
        <f t="shared" si="0"/>
        <v>2024-03</v>
      </c>
    </row>
    <row r="65" spans="1:7" x14ac:dyDescent="0.3">
      <c r="A65" s="3">
        <v>63</v>
      </c>
      <c r="B65" s="4">
        <v>45357</v>
      </c>
      <c r="C65" s="5">
        <v>0</v>
      </c>
      <c r="D65" s="5">
        <v>1560.18</v>
      </c>
      <c r="E65" s="5">
        <v>962.11</v>
      </c>
      <c r="F65" s="3" t="str">
        <f>IF(A65&lt;=[1]Assumptions!$B$4,"Commissioning",IF(A65&lt;=[1]Assumptions!$B$5,"Handover","Recommissioning"))</f>
        <v>Commissioning</v>
      </c>
      <c r="G65" s="6" t="str">
        <f t="shared" si="0"/>
        <v>2024-03</v>
      </c>
    </row>
    <row r="66" spans="1:7" x14ac:dyDescent="0.3">
      <c r="A66" s="3">
        <v>64</v>
      </c>
      <c r="B66" s="4">
        <v>45358</v>
      </c>
      <c r="C66" s="5">
        <v>0</v>
      </c>
      <c r="D66" s="5">
        <v>1569.8</v>
      </c>
      <c r="E66" s="5">
        <v>959.61</v>
      </c>
      <c r="F66" s="3" t="str">
        <f>IF(A66&lt;=[1]Assumptions!$B$4,"Commissioning",IF(A66&lt;=[1]Assumptions!$B$5,"Handover","Recommissioning"))</f>
        <v>Commissioning</v>
      </c>
      <c r="G66" s="6" t="str">
        <f t="shared" si="0"/>
        <v>2024-03</v>
      </c>
    </row>
    <row r="67" spans="1:7" x14ac:dyDescent="0.3">
      <c r="A67" s="3">
        <v>65</v>
      </c>
      <c r="B67" s="4">
        <v>45359</v>
      </c>
      <c r="C67" s="5">
        <v>0</v>
      </c>
      <c r="D67" s="5">
        <v>1573.65</v>
      </c>
      <c r="E67" s="5">
        <v>972.12</v>
      </c>
      <c r="F67" s="3" t="str">
        <f>IF(A67&lt;=[1]Assumptions!$B$4,"Commissioning",IF(A67&lt;=[1]Assumptions!$B$5,"Handover","Recommissioning"))</f>
        <v>Commissioning</v>
      </c>
      <c r="G67" s="6" t="str">
        <f t="shared" ref="G67:G130" si="1">YEAR(B67)&amp;"-"&amp;TEXT(MONTH(B67),"00")</f>
        <v>2024-03</v>
      </c>
    </row>
    <row r="68" spans="1:7" x14ac:dyDescent="0.3">
      <c r="A68" s="3">
        <v>66</v>
      </c>
      <c r="B68" s="4">
        <v>45360</v>
      </c>
      <c r="C68" s="5">
        <v>0</v>
      </c>
      <c r="D68" s="5">
        <v>1624.79</v>
      </c>
      <c r="E68" s="5">
        <v>962.76</v>
      </c>
      <c r="F68" s="3" t="str">
        <f>IF(A68&lt;=[1]Assumptions!$B$4,"Commissioning",IF(A68&lt;=[1]Assumptions!$B$5,"Handover","Recommissioning"))</f>
        <v>Commissioning</v>
      </c>
      <c r="G68" s="6" t="str">
        <f t="shared" si="1"/>
        <v>2024-03</v>
      </c>
    </row>
    <row r="69" spans="1:7" x14ac:dyDescent="0.3">
      <c r="A69" s="3">
        <v>67</v>
      </c>
      <c r="B69" s="4">
        <v>45361</v>
      </c>
      <c r="C69" s="5">
        <v>0</v>
      </c>
      <c r="D69" s="5">
        <v>1553.58</v>
      </c>
      <c r="E69" s="5">
        <v>959.57</v>
      </c>
      <c r="F69" s="3" t="str">
        <f>IF(A69&lt;=[1]Assumptions!$B$4,"Commissioning",IF(A69&lt;=[1]Assumptions!$B$5,"Handover","Recommissioning"))</f>
        <v>Commissioning</v>
      </c>
      <c r="G69" s="6" t="str">
        <f t="shared" si="1"/>
        <v>2024-03</v>
      </c>
    </row>
    <row r="70" spans="1:7" x14ac:dyDescent="0.3">
      <c r="A70" s="3">
        <v>68</v>
      </c>
      <c r="B70" s="4">
        <v>45362</v>
      </c>
      <c r="C70" s="5">
        <v>0</v>
      </c>
      <c r="D70" s="5">
        <v>1641.39</v>
      </c>
      <c r="E70" s="5">
        <v>981.47</v>
      </c>
      <c r="F70" s="3" t="str">
        <f>IF(A70&lt;=[1]Assumptions!$B$4,"Commissioning",IF(A70&lt;=[1]Assumptions!$B$5,"Handover","Recommissioning"))</f>
        <v>Commissioning</v>
      </c>
      <c r="G70" s="6" t="str">
        <f t="shared" si="1"/>
        <v>2024-03</v>
      </c>
    </row>
    <row r="71" spans="1:7" x14ac:dyDescent="0.3">
      <c r="A71" s="3">
        <v>69</v>
      </c>
      <c r="B71" s="4">
        <v>45363</v>
      </c>
      <c r="C71" s="5">
        <v>0</v>
      </c>
      <c r="D71" s="5">
        <v>1690.69</v>
      </c>
      <c r="E71" s="5">
        <v>961.82</v>
      </c>
      <c r="F71" s="3" t="str">
        <f>IF(A71&lt;=[1]Assumptions!$B$4,"Commissioning",IF(A71&lt;=[1]Assumptions!$B$5,"Handover","Recommissioning"))</f>
        <v>Commissioning</v>
      </c>
      <c r="G71" s="6" t="str">
        <f t="shared" si="1"/>
        <v>2024-03</v>
      </c>
    </row>
    <row r="72" spans="1:7" x14ac:dyDescent="0.3">
      <c r="A72" s="3">
        <v>70</v>
      </c>
      <c r="B72" s="4">
        <v>45364</v>
      </c>
      <c r="C72" s="5">
        <v>0</v>
      </c>
      <c r="D72" s="5">
        <v>1705.03</v>
      </c>
      <c r="E72" s="5">
        <v>982.1</v>
      </c>
      <c r="F72" s="3" t="str">
        <f>IF(A72&lt;=[1]Assumptions!$B$4,"Commissioning",IF(A72&lt;=[1]Assumptions!$B$5,"Handover","Recommissioning"))</f>
        <v>Commissioning</v>
      </c>
      <c r="G72" s="6" t="str">
        <f t="shared" si="1"/>
        <v>2024-03</v>
      </c>
    </row>
    <row r="73" spans="1:7" x14ac:dyDescent="0.3">
      <c r="A73" s="3">
        <v>71</v>
      </c>
      <c r="B73" s="4">
        <v>45365</v>
      </c>
      <c r="C73" s="5">
        <v>0</v>
      </c>
      <c r="D73" s="5">
        <v>1622.96</v>
      </c>
      <c r="E73" s="5">
        <v>967.53</v>
      </c>
      <c r="F73" s="3" t="str">
        <f>IF(A73&lt;=[1]Assumptions!$B$4,"Commissioning",IF(A73&lt;=[1]Assumptions!$B$5,"Handover","Recommissioning"))</f>
        <v>Commissioning</v>
      </c>
      <c r="G73" s="6" t="str">
        <f t="shared" si="1"/>
        <v>2024-03</v>
      </c>
    </row>
    <row r="74" spans="1:7" x14ac:dyDescent="0.3">
      <c r="A74" s="3">
        <v>72</v>
      </c>
      <c r="B74" s="4">
        <v>45366</v>
      </c>
      <c r="C74" s="5">
        <v>0</v>
      </c>
      <c r="D74" s="5">
        <v>1599.33</v>
      </c>
      <c r="E74" s="5">
        <v>1008.4</v>
      </c>
      <c r="F74" s="3" t="str">
        <f>IF(A74&lt;=[1]Assumptions!$B$4,"Commissioning",IF(A74&lt;=[1]Assumptions!$B$5,"Handover","Recommissioning"))</f>
        <v>Commissioning</v>
      </c>
      <c r="G74" s="6" t="str">
        <f t="shared" si="1"/>
        <v>2024-03</v>
      </c>
    </row>
    <row r="75" spans="1:7" x14ac:dyDescent="0.3">
      <c r="A75" s="3">
        <v>73</v>
      </c>
      <c r="B75" s="4">
        <v>45367</v>
      </c>
      <c r="C75" s="5">
        <v>0</v>
      </c>
      <c r="D75" s="5">
        <v>1624.98</v>
      </c>
      <c r="E75" s="5">
        <v>1007.69</v>
      </c>
      <c r="F75" s="3" t="str">
        <f>IF(A75&lt;=[1]Assumptions!$B$4,"Commissioning",IF(A75&lt;=[1]Assumptions!$B$5,"Handover","Recommissioning"))</f>
        <v>Commissioning</v>
      </c>
      <c r="G75" s="6" t="str">
        <f t="shared" si="1"/>
        <v>2024-03</v>
      </c>
    </row>
    <row r="76" spans="1:7" x14ac:dyDescent="0.3">
      <c r="A76" s="3">
        <v>74</v>
      </c>
      <c r="B76" s="4">
        <v>45368</v>
      </c>
      <c r="C76" s="5">
        <v>0</v>
      </c>
      <c r="D76" s="5">
        <v>1658.06</v>
      </c>
      <c r="E76" s="5">
        <v>977.39</v>
      </c>
      <c r="F76" s="3" t="str">
        <f>IF(A76&lt;=[1]Assumptions!$B$4,"Commissioning",IF(A76&lt;=[1]Assumptions!$B$5,"Handover","Recommissioning"))</f>
        <v>Commissioning</v>
      </c>
      <c r="G76" s="6" t="str">
        <f t="shared" si="1"/>
        <v>2024-03</v>
      </c>
    </row>
    <row r="77" spans="1:7" x14ac:dyDescent="0.3">
      <c r="A77" s="3">
        <v>75</v>
      </c>
      <c r="B77" s="4">
        <v>45369</v>
      </c>
      <c r="C77" s="5">
        <v>0</v>
      </c>
      <c r="D77" s="5">
        <v>1615.67</v>
      </c>
      <c r="E77" s="5">
        <v>972.82</v>
      </c>
      <c r="F77" s="3" t="str">
        <f>IF(A77&lt;=[1]Assumptions!$B$4,"Commissioning",IF(A77&lt;=[1]Assumptions!$B$5,"Handover","Recommissioning"))</f>
        <v>Commissioning</v>
      </c>
      <c r="G77" s="6" t="str">
        <f t="shared" si="1"/>
        <v>2024-03</v>
      </c>
    </row>
    <row r="78" spans="1:7" x14ac:dyDescent="0.3">
      <c r="A78" s="3">
        <v>76</v>
      </c>
      <c r="B78" s="4">
        <v>45370</v>
      </c>
      <c r="C78" s="5">
        <v>0</v>
      </c>
      <c r="D78" s="5">
        <v>1696.86</v>
      </c>
      <c r="E78" s="5">
        <v>993.85</v>
      </c>
      <c r="F78" s="3" t="str">
        <f>IF(A78&lt;=[1]Assumptions!$B$4,"Commissioning",IF(A78&lt;=[1]Assumptions!$B$5,"Handover","Recommissioning"))</f>
        <v>Commissioning</v>
      </c>
      <c r="G78" s="6" t="str">
        <f t="shared" si="1"/>
        <v>2024-03</v>
      </c>
    </row>
    <row r="79" spans="1:7" x14ac:dyDescent="0.3">
      <c r="A79" s="3">
        <v>77</v>
      </c>
      <c r="B79" s="4">
        <v>45371</v>
      </c>
      <c r="C79" s="5">
        <v>0</v>
      </c>
      <c r="D79" s="5">
        <v>1655.93</v>
      </c>
      <c r="E79" s="5">
        <v>990.04</v>
      </c>
      <c r="F79" s="3" t="str">
        <f>IF(A79&lt;=[1]Assumptions!$B$4,"Commissioning",IF(A79&lt;=[1]Assumptions!$B$5,"Handover","Recommissioning"))</f>
        <v>Commissioning</v>
      </c>
      <c r="G79" s="6" t="str">
        <f t="shared" si="1"/>
        <v>2024-03</v>
      </c>
    </row>
    <row r="80" spans="1:7" x14ac:dyDescent="0.3">
      <c r="A80" s="3">
        <v>78</v>
      </c>
      <c r="B80" s="4">
        <v>45372</v>
      </c>
      <c r="C80" s="5">
        <v>0</v>
      </c>
      <c r="D80" s="5">
        <v>1553.92</v>
      </c>
      <c r="E80" s="5">
        <v>1003.58</v>
      </c>
      <c r="F80" s="3" t="str">
        <f>IF(A80&lt;=[1]Assumptions!$B$4,"Commissioning",IF(A80&lt;=[1]Assumptions!$B$5,"Handover","Recommissioning"))</f>
        <v>Commissioning</v>
      </c>
      <c r="G80" s="6" t="str">
        <f t="shared" si="1"/>
        <v>2024-03</v>
      </c>
    </row>
    <row r="81" spans="1:7" x14ac:dyDescent="0.3">
      <c r="A81" s="3">
        <v>79</v>
      </c>
      <c r="B81" s="4">
        <v>45373</v>
      </c>
      <c r="C81" s="5">
        <v>0</v>
      </c>
      <c r="D81" s="5">
        <v>1591.33</v>
      </c>
      <c r="E81" s="5">
        <v>981.12</v>
      </c>
      <c r="F81" s="3" t="str">
        <f>IF(A81&lt;=[1]Assumptions!$B$4,"Commissioning",IF(A81&lt;=[1]Assumptions!$B$5,"Handover","Recommissioning"))</f>
        <v>Commissioning</v>
      </c>
      <c r="G81" s="6" t="str">
        <f t="shared" si="1"/>
        <v>2024-03</v>
      </c>
    </row>
    <row r="82" spans="1:7" x14ac:dyDescent="0.3">
      <c r="A82" s="3">
        <v>80</v>
      </c>
      <c r="B82" s="4">
        <v>45374</v>
      </c>
      <c r="C82" s="5">
        <v>0</v>
      </c>
      <c r="D82" s="5">
        <v>1646.96</v>
      </c>
      <c r="E82" s="5">
        <v>1006.78</v>
      </c>
      <c r="F82" s="3" t="str">
        <f>IF(A82&lt;=[1]Assumptions!$B$4,"Commissioning",IF(A82&lt;=[1]Assumptions!$B$5,"Handover","Recommissioning"))</f>
        <v>Commissioning</v>
      </c>
      <c r="G82" s="6" t="str">
        <f t="shared" si="1"/>
        <v>2024-03</v>
      </c>
    </row>
    <row r="83" spans="1:7" x14ac:dyDescent="0.3">
      <c r="A83" s="3">
        <v>81</v>
      </c>
      <c r="B83" s="4">
        <v>45375</v>
      </c>
      <c r="C83" s="5">
        <v>0</v>
      </c>
      <c r="D83" s="5">
        <v>1571.92</v>
      </c>
      <c r="E83" s="5">
        <v>997.8</v>
      </c>
      <c r="F83" s="3" t="str">
        <f>IF(A83&lt;=[1]Assumptions!$B$4,"Commissioning",IF(A83&lt;=[1]Assumptions!$B$5,"Handover","Recommissioning"))</f>
        <v>Commissioning</v>
      </c>
      <c r="G83" s="6" t="str">
        <f t="shared" si="1"/>
        <v>2024-03</v>
      </c>
    </row>
    <row r="84" spans="1:7" x14ac:dyDescent="0.3">
      <c r="A84" s="3">
        <v>82</v>
      </c>
      <c r="B84" s="4">
        <v>45376</v>
      </c>
      <c r="C84" s="5">
        <v>0</v>
      </c>
      <c r="D84" s="5">
        <v>1598.14</v>
      </c>
      <c r="E84" s="5">
        <v>996.95</v>
      </c>
      <c r="F84" s="3" t="str">
        <f>IF(A84&lt;=[1]Assumptions!$B$4,"Commissioning",IF(A84&lt;=[1]Assumptions!$B$5,"Handover","Recommissioning"))</f>
        <v>Commissioning</v>
      </c>
      <c r="G84" s="6" t="str">
        <f t="shared" si="1"/>
        <v>2024-03</v>
      </c>
    </row>
    <row r="85" spans="1:7" x14ac:dyDescent="0.3">
      <c r="A85" s="3">
        <v>83</v>
      </c>
      <c r="B85" s="4">
        <v>45377</v>
      </c>
      <c r="C85" s="5">
        <v>0</v>
      </c>
      <c r="D85" s="5">
        <v>1678.3</v>
      </c>
      <c r="E85" s="5">
        <v>984.57</v>
      </c>
      <c r="F85" s="3" t="str">
        <f>IF(A85&lt;=[1]Assumptions!$B$4,"Commissioning",IF(A85&lt;=[1]Assumptions!$B$5,"Handover","Recommissioning"))</f>
        <v>Commissioning</v>
      </c>
      <c r="G85" s="6" t="str">
        <f t="shared" si="1"/>
        <v>2024-03</v>
      </c>
    </row>
    <row r="86" spans="1:7" x14ac:dyDescent="0.3">
      <c r="A86" s="3">
        <v>84</v>
      </c>
      <c r="B86" s="4">
        <v>45378</v>
      </c>
      <c r="C86" s="5">
        <v>0</v>
      </c>
      <c r="D86" s="5">
        <v>1558.02</v>
      </c>
      <c r="E86" s="5">
        <v>991.25</v>
      </c>
      <c r="F86" s="3" t="str">
        <f>IF(A86&lt;=[1]Assumptions!$B$4,"Commissioning",IF(A86&lt;=[1]Assumptions!$B$5,"Handover","Recommissioning"))</f>
        <v>Commissioning</v>
      </c>
      <c r="G86" s="6" t="str">
        <f t="shared" si="1"/>
        <v>2024-03</v>
      </c>
    </row>
    <row r="87" spans="1:7" x14ac:dyDescent="0.3">
      <c r="A87" s="3">
        <v>85</v>
      </c>
      <c r="B87" s="4">
        <v>45379</v>
      </c>
      <c r="C87" s="5">
        <v>0</v>
      </c>
      <c r="D87" s="5">
        <v>1708.99</v>
      </c>
      <c r="E87" s="5">
        <v>989.97</v>
      </c>
      <c r="F87" s="3" t="str">
        <f>IF(A87&lt;=[1]Assumptions!$B$4,"Commissioning",IF(A87&lt;=[1]Assumptions!$B$5,"Handover","Recommissioning"))</f>
        <v>Commissioning</v>
      </c>
      <c r="G87" s="6" t="str">
        <f t="shared" si="1"/>
        <v>2024-03</v>
      </c>
    </row>
    <row r="88" spans="1:7" x14ac:dyDescent="0.3">
      <c r="A88" s="3">
        <v>86</v>
      </c>
      <c r="B88" s="4">
        <v>45380</v>
      </c>
      <c r="C88" s="5">
        <v>0</v>
      </c>
      <c r="D88" s="5">
        <v>1696.82</v>
      </c>
      <c r="E88" s="5">
        <v>1010.59</v>
      </c>
      <c r="F88" s="3" t="str">
        <f>IF(A88&lt;=[1]Assumptions!$B$4,"Commissioning",IF(A88&lt;=[1]Assumptions!$B$5,"Handover","Recommissioning"))</f>
        <v>Commissioning</v>
      </c>
      <c r="G88" s="6" t="str">
        <f t="shared" si="1"/>
        <v>2024-03</v>
      </c>
    </row>
    <row r="89" spans="1:7" x14ac:dyDescent="0.3">
      <c r="A89" s="3">
        <v>87</v>
      </c>
      <c r="B89" s="4">
        <v>45381</v>
      </c>
      <c r="C89" s="5">
        <v>0</v>
      </c>
      <c r="D89" s="5">
        <v>1638.58</v>
      </c>
      <c r="E89" s="5">
        <v>993.95</v>
      </c>
      <c r="F89" s="3" t="str">
        <f>IF(A89&lt;=[1]Assumptions!$B$4,"Commissioning",IF(A89&lt;=[1]Assumptions!$B$5,"Handover","Recommissioning"))</f>
        <v>Commissioning</v>
      </c>
      <c r="G89" s="6" t="str">
        <f t="shared" si="1"/>
        <v>2024-03</v>
      </c>
    </row>
    <row r="90" spans="1:7" x14ac:dyDescent="0.3">
      <c r="A90" s="3">
        <v>88</v>
      </c>
      <c r="B90" s="4">
        <v>45382</v>
      </c>
      <c r="C90" s="5">
        <v>0</v>
      </c>
      <c r="D90" s="5">
        <v>1688.74</v>
      </c>
      <c r="E90" s="5">
        <v>1010.24</v>
      </c>
      <c r="F90" s="3" t="str">
        <f>IF(A90&lt;=[1]Assumptions!$B$4,"Commissioning",IF(A90&lt;=[1]Assumptions!$B$5,"Handover","Recommissioning"))</f>
        <v>Commissioning</v>
      </c>
      <c r="G90" s="6" t="str">
        <f t="shared" si="1"/>
        <v>2024-03</v>
      </c>
    </row>
    <row r="91" spans="1:7" x14ac:dyDescent="0.3">
      <c r="A91" s="3">
        <v>89</v>
      </c>
      <c r="B91" s="4">
        <v>45383</v>
      </c>
      <c r="C91" s="5">
        <v>0</v>
      </c>
      <c r="D91" s="5">
        <v>1684.6</v>
      </c>
      <c r="E91" s="5">
        <v>996.3</v>
      </c>
      <c r="F91" s="3" t="str">
        <f>IF(A91&lt;=[1]Assumptions!$B$4,"Commissioning",IF(A91&lt;=[1]Assumptions!$B$5,"Handover","Recommissioning"))</f>
        <v>Commissioning</v>
      </c>
      <c r="G91" s="6" t="str">
        <f t="shared" si="1"/>
        <v>2024-04</v>
      </c>
    </row>
    <row r="92" spans="1:7" x14ac:dyDescent="0.3">
      <c r="A92" s="3">
        <v>90</v>
      </c>
      <c r="B92" s="4">
        <v>45384</v>
      </c>
      <c r="C92" s="5">
        <v>0</v>
      </c>
      <c r="D92" s="5">
        <v>1570.43</v>
      </c>
      <c r="E92" s="5">
        <v>991.14</v>
      </c>
      <c r="F92" s="3" t="str">
        <f>IF(A92&lt;=[1]Assumptions!$B$4,"Commissioning",IF(A92&lt;=[1]Assumptions!$B$5,"Handover","Recommissioning"))</f>
        <v>Commissioning</v>
      </c>
      <c r="G92" s="6" t="str">
        <f t="shared" si="1"/>
        <v>2024-04</v>
      </c>
    </row>
    <row r="93" spans="1:7" x14ac:dyDescent="0.3">
      <c r="A93" s="3">
        <v>91</v>
      </c>
      <c r="B93" s="4">
        <v>45385</v>
      </c>
      <c r="C93" s="5">
        <v>0</v>
      </c>
      <c r="D93" s="5">
        <v>1704.21</v>
      </c>
      <c r="E93" s="5">
        <v>1012.32</v>
      </c>
      <c r="F93" s="3" t="str">
        <f>IF(A93&lt;=[1]Assumptions!$B$4,"Commissioning",IF(A93&lt;=[1]Assumptions!$B$5,"Handover","Recommissioning"))</f>
        <v>Handover</v>
      </c>
      <c r="G93" s="6" t="str">
        <f t="shared" si="1"/>
        <v>2024-04</v>
      </c>
    </row>
    <row r="94" spans="1:7" x14ac:dyDescent="0.3">
      <c r="A94" s="3">
        <v>92</v>
      </c>
      <c r="B94" s="4">
        <v>45386</v>
      </c>
      <c r="C94" s="5">
        <v>0</v>
      </c>
      <c r="D94" s="5">
        <v>1587.91</v>
      </c>
      <c r="E94" s="5">
        <v>967.05</v>
      </c>
      <c r="F94" s="3" t="str">
        <f>IF(A94&lt;=[1]Assumptions!$B$4,"Commissioning",IF(A94&lt;=[1]Assumptions!$B$5,"Handover","Recommissioning"))</f>
        <v>Handover</v>
      </c>
      <c r="G94" s="6" t="str">
        <f t="shared" si="1"/>
        <v>2024-04</v>
      </c>
    </row>
    <row r="95" spans="1:7" x14ac:dyDescent="0.3">
      <c r="A95" s="3">
        <v>93</v>
      </c>
      <c r="B95" s="4">
        <v>45387</v>
      </c>
      <c r="C95" s="5">
        <v>0</v>
      </c>
      <c r="D95" s="5">
        <v>1690.11</v>
      </c>
      <c r="E95" s="5">
        <v>976.6</v>
      </c>
      <c r="F95" s="3" t="str">
        <f>IF(A95&lt;=[1]Assumptions!$B$4,"Commissioning",IF(A95&lt;=[1]Assumptions!$B$5,"Handover","Recommissioning"))</f>
        <v>Handover</v>
      </c>
      <c r="G95" s="6" t="str">
        <f t="shared" si="1"/>
        <v>2024-04</v>
      </c>
    </row>
    <row r="96" spans="1:7" x14ac:dyDescent="0.3">
      <c r="A96" s="3">
        <v>94</v>
      </c>
      <c r="B96" s="4">
        <v>45388</v>
      </c>
      <c r="C96" s="5">
        <v>0</v>
      </c>
      <c r="D96" s="5">
        <v>1638.26</v>
      </c>
      <c r="E96" s="5">
        <v>988.42</v>
      </c>
      <c r="F96" s="3" t="str">
        <f>IF(A96&lt;=[1]Assumptions!$B$4,"Commissioning",IF(A96&lt;=[1]Assumptions!$B$5,"Handover","Recommissioning"))</f>
        <v>Handover</v>
      </c>
      <c r="G96" s="6" t="str">
        <f t="shared" si="1"/>
        <v>2024-04</v>
      </c>
    </row>
    <row r="97" spans="1:7" x14ac:dyDescent="0.3">
      <c r="A97" s="3">
        <v>95</v>
      </c>
      <c r="B97" s="4">
        <v>45389</v>
      </c>
      <c r="C97" s="5">
        <v>0</v>
      </c>
      <c r="D97" s="5">
        <v>1627.98</v>
      </c>
      <c r="E97" s="5">
        <v>982.83</v>
      </c>
      <c r="F97" s="3" t="str">
        <f>IF(A97&lt;=[1]Assumptions!$B$4,"Commissioning",IF(A97&lt;=[1]Assumptions!$B$5,"Handover","Recommissioning"))</f>
        <v>Handover</v>
      </c>
      <c r="G97" s="6" t="str">
        <f t="shared" si="1"/>
        <v>2024-04</v>
      </c>
    </row>
    <row r="98" spans="1:7" x14ac:dyDescent="0.3">
      <c r="A98" s="3">
        <v>96</v>
      </c>
      <c r="B98" s="4">
        <v>45390</v>
      </c>
      <c r="C98" s="5">
        <v>0</v>
      </c>
      <c r="D98" s="5">
        <v>1612.01</v>
      </c>
      <c r="E98" s="5">
        <v>972.24</v>
      </c>
      <c r="F98" s="3" t="str">
        <f>IF(A98&lt;=[1]Assumptions!$B$4,"Commissioning",IF(A98&lt;=[1]Assumptions!$B$5,"Handover","Recommissioning"))</f>
        <v>Handover</v>
      </c>
      <c r="G98" s="6" t="str">
        <f t="shared" si="1"/>
        <v>2024-04</v>
      </c>
    </row>
    <row r="99" spans="1:7" x14ac:dyDescent="0.3">
      <c r="A99" s="3">
        <v>97</v>
      </c>
      <c r="B99" s="4">
        <v>45391</v>
      </c>
      <c r="C99" s="5">
        <v>0</v>
      </c>
      <c r="D99" s="5">
        <v>1679.65</v>
      </c>
      <c r="E99" s="5">
        <v>964.92</v>
      </c>
      <c r="F99" s="3" t="str">
        <f>IF(A99&lt;=[1]Assumptions!$B$4,"Commissioning",IF(A99&lt;=[1]Assumptions!$B$5,"Handover","Recommissioning"))</f>
        <v>Handover</v>
      </c>
      <c r="G99" s="6" t="str">
        <f t="shared" si="1"/>
        <v>2024-04</v>
      </c>
    </row>
    <row r="100" spans="1:7" x14ac:dyDescent="0.3">
      <c r="A100" s="3">
        <v>98</v>
      </c>
      <c r="B100" s="4">
        <v>45392</v>
      </c>
      <c r="C100" s="5">
        <v>0</v>
      </c>
      <c r="D100" s="5">
        <v>1672.65</v>
      </c>
      <c r="E100" s="5">
        <v>986.19</v>
      </c>
      <c r="F100" s="3" t="str">
        <f>IF(A100&lt;=[1]Assumptions!$B$4,"Commissioning",IF(A100&lt;=[1]Assumptions!$B$5,"Handover","Recommissioning"))</f>
        <v>Handover</v>
      </c>
      <c r="G100" s="6" t="str">
        <f t="shared" si="1"/>
        <v>2024-04</v>
      </c>
    </row>
    <row r="101" spans="1:7" x14ac:dyDescent="0.3">
      <c r="A101" s="3">
        <v>99</v>
      </c>
      <c r="B101" s="4">
        <v>45393</v>
      </c>
      <c r="C101" s="5">
        <v>0</v>
      </c>
      <c r="D101" s="5">
        <v>1637.28</v>
      </c>
      <c r="E101" s="5">
        <v>955.97</v>
      </c>
      <c r="F101" s="3" t="str">
        <f>IF(A101&lt;=[1]Assumptions!$B$4,"Commissioning",IF(A101&lt;=[1]Assumptions!$B$5,"Handover","Recommissioning"))</f>
        <v>Handover</v>
      </c>
      <c r="G101" s="6" t="str">
        <f t="shared" si="1"/>
        <v>2024-04</v>
      </c>
    </row>
    <row r="102" spans="1:7" x14ac:dyDescent="0.3">
      <c r="A102" s="3">
        <v>100</v>
      </c>
      <c r="B102" s="4">
        <v>45394</v>
      </c>
      <c r="C102" s="5">
        <v>0</v>
      </c>
      <c r="D102" s="5">
        <v>1630.66</v>
      </c>
      <c r="E102" s="5">
        <v>993.16</v>
      </c>
      <c r="F102" s="3" t="str">
        <f>IF(A102&lt;=[1]Assumptions!$B$4,"Commissioning",IF(A102&lt;=[1]Assumptions!$B$5,"Handover","Recommissioning"))</f>
        <v>Handover</v>
      </c>
      <c r="G102" s="6" t="str">
        <f t="shared" si="1"/>
        <v>2024-04</v>
      </c>
    </row>
    <row r="103" spans="1:7" x14ac:dyDescent="0.3">
      <c r="A103" s="3">
        <v>101</v>
      </c>
      <c r="B103" s="4">
        <v>45395</v>
      </c>
      <c r="C103" s="5">
        <v>0</v>
      </c>
      <c r="D103" s="5">
        <v>1637.71</v>
      </c>
      <c r="E103" s="5">
        <v>957.8</v>
      </c>
      <c r="F103" s="3" t="str">
        <f>IF(A103&lt;=[1]Assumptions!$B$4,"Commissioning",IF(A103&lt;=[1]Assumptions!$B$5,"Handover","Recommissioning"))</f>
        <v>Handover</v>
      </c>
      <c r="G103" s="6" t="str">
        <f t="shared" si="1"/>
        <v>2024-04</v>
      </c>
    </row>
    <row r="104" spans="1:7" x14ac:dyDescent="0.3">
      <c r="A104" s="3">
        <v>102</v>
      </c>
      <c r="B104" s="4">
        <v>45396</v>
      </c>
      <c r="C104" s="5">
        <v>0</v>
      </c>
      <c r="D104" s="5">
        <v>1673.66</v>
      </c>
      <c r="E104" s="5">
        <v>983.7</v>
      </c>
      <c r="F104" s="3" t="str">
        <f>IF(A104&lt;=[1]Assumptions!$B$4,"Commissioning",IF(A104&lt;=[1]Assumptions!$B$5,"Handover","Recommissioning"))</f>
        <v>Handover</v>
      </c>
      <c r="G104" s="6" t="str">
        <f t="shared" si="1"/>
        <v>2024-04</v>
      </c>
    </row>
    <row r="105" spans="1:7" x14ac:dyDescent="0.3">
      <c r="A105" s="3">
        <v>103</v>
      </c>
      <c r="B105" s="4">
        <v>45397</v>
      </c>
      <c r="C105" s="5">
        <v>0</v>
      </c>
      <c r="D105" s="5">
        <v>1589.63</v>
      </c>
      <c r="E105" s="5">
        <v>1010.95</v>
      </c>
      <c r="F105" s="3" t="str">
        <f>IF(A105&lt;=[1]Assumptions!$B$4,"Commissioning",IF(A105&lt;=[1]Assumptions!$B$5,"Handover","Recommissioning"))</f>
        <v>Handover</v>
      </c>
      <c r="G105" s="6" t="str">
        <f t="shared" si="1"/>
        <v>2024-04</v>
      </c>
    </row>
    <row r="106" spans="1:7" x14ac:dyDescent="0.3">
      <c r="A106" s="3">
        <v>104</v>
      </c>
      <c r="B106" s="4">
        <v>45398</v>
      </c>
      <c r="C106" s="5">
        <v>0</v>
      </c>
      <c r="D106" s="5">
        <v>1588.52</v>
      </c>
      <c r="E106" s="5">
        <v>976.38</v>
      </c>
      <c r="F106" s="3" t="str">
        <f>IF(A106&lt;=[1]Assumptions!$B$4,"Commissioning",IF(A106&lt;=[1]Assumptions!$B$5,"Handover","Recommissioning"))</f>
        <v>Handover</v>
      </c>
      <c r="G106" s="6" t="str">
        <f t="shared" si="1"/>
        <v>2024-04</v>
      </c>
    </row>
    <row r="107" spans="1:7" x14ac:dyDescent="0.3">
      <c r="A107" s="3">
        <v>105</v>
      </c>
      <c r="B107" s="4">
        <v>45399</v>
      </c>
      <c r="C107" s="5">
        <v>0</v>
      </c>
      <c r="D107" s="5">
        <v>1592.48</v>
      </c>
      <c r="E107" s="5">
        <v>972.2</v>
      </c>
      <c r="F107" s="3" t="str">
        <f>IF(A107&lt;=[1]Assumptions!$B$4,"Commissioning",IF(A107&lt;=[1]Assumptions!$B$5,"Handover","Recommissioning"))</f>
        <v>Handover</v>
      </c>
      <c r="G107" s="6" t="str">
        <f t="shared" si="1"/>
        <v>2024-04</v>
      </c>
    </row>
    <row r="108" spans="1:7" x14ac:dyDescent="0.3">
      <c r="A108" s="3">
        <v>106</v>
      </c>
      <c r="B108" s="4">
        <v>45400</v>
      </c>
      <c r="C108" s="5">
        <v>0</v>
      </c>
      <c r="D108" s="5">
        <v>1574.48</v>
      </c>
      <c r="E108" s="5">
        <v>993.1</v>
      </c>
      <c r="F108" s="3" t="str">
        <f>IF(A108&lt;=[1]Assumptions!$B$4,"Commissioning",IF(A108&lt;=[1]Assumptions!$B$5,"Handover","Recommissioning"))</f>
        <v>Handover</v>
      </c>
      <c r="G108" s="6" t="str">
        <f t="shared" si="1"/>
        <v>2024-04</v>
      </c>
    </row>
    <row r="109" spans="1:7" x14ac:dyDescent="0.3">
      <c r="A109" s="3">
        <v>107</v>
      </c>
      <c r="B109" s="4">
        <v>45401</v>
      </c>
      <c r="C109" s="5">
        <v>0</v>
      </c>
      <c r="D109" s="5">
        <v>1641.44</v>
      </c>
      <c r="E109" s="5">
        <v>1010.1</v>
      </c>
      <c r="F109" s="3" t="str">
        <f>IF(A109&lt;=[1]Assumptions!$B$4,"Commissioning",IF(A109&lt;=[1]Assumptions!$B$5,"Handover","Recommissioning"))</f>
        <v>Handover</v>
      </c>
      <c r="G109" s="6" t="str">
        <f t="shared" si="1"/>
        <v>2024-04</v>
      </c>
    </row>
    <row r="110" spans="1:7" x14ac:dyDescent="0.3">
      <c r="A110" s="3">
        <v>108</v>
      </c>
      <c r="B110" s="4">
        <v>45402</v>
      </c>
      <c r="C110" s="5">
        <v>0</v>
      </c>
      <c r="D110" s="5">
        <v>1642.31</v>
      </c>
      <c r="E110" s="5">
        <v>999.21</v>
      </c>
      <c r="F110" s="3" t="str">
        <f>IF(A110&lt;=[1]Assumptions!$B$4,"Commissioning",IF(A110&lt;=[1]Assumptions!$B$5,"Handover","Recommissioning"))</f>
        <v>Handover</v>
      </c>
      <c r="G110" s="6" t="str">
        <f t="shared" si="1"/>
        <v>2024-04</v>
      </c>
    </row>
    <row r="111" spans="1:7" x14ac:dyDescent="0.3">
      <c r="A111" s="3">
        <v>109</v>
      </c>
      <c r="B111" s="4">
        <v>45403</v>
      </c>
      <c r="C111" s="5">
        <v>0</v>
      </c>
      <c r="D111" s="5">
        <v>1581.35</v>
      </c>
      <c r="E111" s="5">
        <v>995.45</v>
      </c>
      <c r="F111" s="3" t="str">
        <f>IF(A111&lt;=[1]Assumptions!$B$4,"Commissioning",IF(A111&lt;=[1]Assumptions!$B$5,"Handover","Recommissioning"))</f>
        <v>Handover</v>
      </c>
      <c r="G111" s="6" t="str">
        <f t="shared" si="1"/>
        <v>2024-04</v>
      </c>
    </row>
    <row r="112" spans="1:7" x14ac:dyDescent="0.3">
      <c r="A112" s="3">
        <v>110</v>
      </c>
      <c r="B112" s="4">
        <v>45404</v>
      </c>
      <c r="C112" s="5">
        <v>0</v>
      </c>
      <c r="D112" s="5">
        <v>1705.82</v>
      </c>
      <c r="E112" s="5">
        <v>967.36</v>
      </c>
      <c r="F112" s="3" t="str">
        <f>IF(A112&lt;=[1]Assumptions!$B$4,"Commissioning",IF(A112&lt;=[1]Assumptions!$B$5,"Handover","Recommissioning"))</f>
        <v>Handover</v>
      </c>
      <c r="G112" s="6" t="str">
        <f t="shared" si="1"/>
        <v>2024-04</v>
      </c>
    </row>
    <row r="113" spans="1:7" x14ac:dyDescent="0.3">
      <c r="A113" s="3">
        <v>111</v>
      </c>
      <c r="B113" s="4">
        <v>45405</v>
      </c>
      <c r="C113" s="5">
        <v>0</v>
      </c>
      <c r="D113" s="5">
        <v>1713.83</v>
      </c>
      <c r="E113" s="5">
        <v>1006.87</v>
      </c>
      <c r="F113" s="3" t="str">
        <f>IF(A113&lt;=[1]Assumptions!$B$4,"Commissioning",IF(A113&lt;=[1]Assumptions!$B$5,"Handover","Recommissioning"))</f>
        <v>Handover</v>
      </c>
      <c r="G113" s="6" t="str">
        <f t="shared" si="1"/>
        <v>2024-04</v>
      </c>
    </row>
    <row r="114" spans="1:7" x14ac:dyDescent="0.3">
      <c r="A114" s="3">
        <v>112</v>
      </c>
      <c r="B114" s="4">
        <v>45406</v>
      </c>
      <c r="C114" s="5">
        <v>0</v>
      </c>
      <c r="D114" s="5">
        <v>1611.3</v>
      </c>
      <c r="E114" s="5">
        <v>997.6</v>
      </c>
      <c r="F114" s="3" t="str">
        <f>IF(A114&lt;=[1]Assumptions!$B$4,"Commissioning",IF(A114&lt;=[1]Assumptions!$B$5,"Handover","Recommissioning"))</f>
        <v>Handover</v>
      </c>
      <c r="G114" s="6" t="str">
        <f t="shared" si="1"/>
        <v>2024-04</v>
      </c>
    </row>
    <row r="115" spans="1:7" x14ac:dyDescent="0.3">
      <c r="A115" s="3">
        <v>113</v>
      </c>
      <c r="B115" s="4">
        <v>45407</v>
      </c>
      <c r="C115" s="5">
        <v>0</v>
      </c>
      <c r="D115" s="5">
        <v>1680.77</v>
      </c>
      <c r="E115" s="5">
        <v>989.26</v>
      </c>
      <c r="F115" s="3" t="str">
        <f>IF(A115&lt;=[1]Assumptions!$B$4,"Commissioning",IF(A115&lt;=[1]Assumptions!$B$5,"Handover","Recommissioning"))</f>
        <v>Handover</v>
      </c>
      <c r="G115" s="6" t="str">
        <f t="shared" si="1"/>
        <v>2024-04</v>
      </c>
    </row>
    <row r="116" spans="1:7" x14ac:dyDescent="0.3">
      <c r="A116" s="3">
        <v>114</v>
      </c>
      <c r="B116" s="4">
        <v>45408</v>
      </c>
      <c r="C116" s="5">
        <v>0</v>
      </c>
      <c r="D116" s="5">
        <v>1697.62</v>
      </c>
      <c r="E116" s="5">
        <v>994.07</v>
      </c>
      <c r="F116" s="3" t="str">
        <f>IF(A116&lt;=[1]Assumptions!$B$4,"Commissioning",IF(A116&lt;=[1]Assumptions!$B$5,"Handover","Recommissioning"))</f>
        <v>Handover</v>
      </c>
      <c r="G116" s="6" t="str">
        <f t="shared" si="1"/>
        <v>2024-04</v>
      </c>
    </row>
    <row r="117" spans="1:7" x14ac:dyDescent="0.3">
      <c r="A117" s="3">
        <v>115</v>
      </c>
      <c r="B117" s="4">
        <v>45409</v>
      </c>
      <c r="C117" s="5">
        <v>0</v>
      </c>
      <c r="D117" s="5">
        <v>1626.36</v>
      </c>
      <c r="E117" s="5">
        <v>1008.4</v>
      </c>
      <c r="F117" s="3" t="str">
        <f>IF(A117&lt;=[1]Assumptions!$B$4,"Commissioning",IF(A117&lt;=[1]Assumptions!$B$5,"Handover","Recommissioning"))</f>
        <v>Handover</v>
      </c>
      <c r="G117" s="6" t="str">
        <f t="shared" si="1"/>
        <v>2024-04</v>
      </c>
    </row>
    <row r="118" spans="1:7" x14ac:dyDescent="0.3">
      <c r="A118" s="3">
        <v>116</v>
      </c>
      <c r="B118" s="4">
        <v>45410</v>
      </c>
      <c r="C118" s="5">
        <v>0</v>
      </c>
      <c r="D118" s="5">
        <v>1596.57</v>
      </c>
      <c r="E118" s="5">
        <v>1009.62</v>
      </c>
      <c r="F118" s="3" t="str">
        <f>IF(A118&lt;=[1]Assumptions!$B$4,"Commissioning",IF(A118&lt;=[1]Assumptions!$B$5,"Handover","Recommissioning"))</f>
        <v>Handover</v>
      </c>
      <c r="G118" s="6" t="str">
        <f t="shared" si="1"/>
        <v>2024-04</v>
      </c>
    </row>
    <row r="119" spans="1:7" x14ac:dyDescent="0.3">
      <c r="A119" s="3">
        <v>117</v>
      </c>
      <c r="B119" s="4">
        <v>45411</v>
      </c>
      <c r="C119" s="5">
        <v>0</v>
      </c>
      <c r="D119" s="5">
        <v>1712.69</v>
      </c>
      <c r="E119" s="5">
        <v>1009.83</v>
      </c>
      <c r="F119" s="3" t="str">
        <f>IF(A119&lt;=[1]Assumptions!$B$4,"Commissioning",IF(A119&lt;=[1]Assumptions!$B$5,"Handover","Recommissioning"))</f>
        <v>Handover</v>
      </c>
      <c r="G119" s="6" t="str">
        <f t="shared" si="1"/>
        <v>2024-04</v>
      </c>
    </row>
    <row r="120" spans="1:7" x14ac:dyDescent="0.3">
      <c r="A120" s="3">
        <v>118</v>
      </c>
      <c r="B120" s="4">
        <v>45412</v>
      </c>
      <c r="C120" s="5">
        <v>0</v>
      </c>
      <c r="D120" s="5">
        <v>1626.96</v>
      </c>
      <c r="E120" s="5">
        <v>955.05</v>
      </c>
      <c r="F120" s="3" t="str">
        <f>IF(A120&lt;=[1]Assumptions!$B$4,"Commissioning",IF(A120&lt;=[1]Assumptions!$B$5,"Handover","Recommissioning"))</f>
        <v>Handover</v>
      </c>
      <c r="G120" s="6" t="str">
        <f t="shared" si="1"/>
        <v>2024-04</v>
      </c>
    </row>
    <row r="121" spans="1:7" x14ac:dyDescent="0.3">
      <c r="A121" s="3">
        <v>119</v>
      </c>
      <c r="B121" s="4">
        <v>45413</v>
      </c>
      <c r="C121" s="5">
        <v>0</v>
      </c>
      <c r="D121" s="5">
        <v>1647.04</v>
      </c>
      <c r="E121" s="5">
        <v>986.83</v>
      </c>
      <c r="F121" s="3" t="str">
        <f>IF(A121&lt;=[1]Assumptions!$B$4,"Commissioning",IF(A121&lt;=[1]Assumptions!$B$5,"Handover","Recommissioning"))</f>
        <v>Handover</v>
      </c>
      <c r="G121" s="6" t="str">
        <f t="shared" si="1"/>
        <v>2024-05</v>
      </c>
    </row>
    <row r="122" spans="1:7" x14ac:dyDescent="0.3">
      <c r="A122" s="3">
        <v>120</v>
      </c>
      <c r="B122" s="4">
        <v>45414</v>
      </c>
      <c r="C122" s="5">
        <v>0</v>
      </c>
      <c r="D122" s="5">
        <v>1586.05</v>
      </c>
      <c r="E122" s="5">
        <v>991.23</v>
      </c>
      <c r="F122" s="3" t="str">
        <f>IF(A122&lt;=[1]Assumptions!$B$4,"Commissioning",IF(A122&lt;=[1]Assumptions!$B$5,"Handover","Recommissioning"))</f>
        <v>Handover</v>
      </c>
      <c r="G122" s="6" t="str">
        <f t="shared" si="1"/>
        <v>2024-05</v>
      </c>
    </row>
    <row r="123" spans="1:7" x14ac:dyDescent="0.3">
      <c r="A123" s="3">
        <v>121</v>
      </c>
      <c r="B123" s="4">
        <v>45415</v>
      </c>
      <c r="C123" s="5">
        <v>0</v>
      </c>
      <c r="D123" s="5">
        <v>1686.75</v>
      </c>
      <c r="E123" s="5">
        <v>1012.32</v>
      </c>
      <c r="F123" s="3" t="str">
        <f>IF(A123&lt;=[1]Assumptions!$B$4,"Commissioning",IF(A123&lt;=[1]Assumptions!$B$5,"Handover","Recommissioning"))</f>
        <v>Handover</v>
      </c>
      <c r="G123" s="6" t="str">
        <f t="shared" si="1"/>
        <v>2024-05</v>
      </c>
    </row>
    <row r="124" spans="1:7" x14ac:dyDescent="0.3">
      <c r="A124" s="3">
        <v>122</v>
      </c>
      <c r="B124" s="4">
        <v>45416</v>
      </c>
      <c r="C124" s="5">
        <v>0</v>
      </c>
      <c r="D124" s="5">
        <v>1583.22</v>
      </c>
      <c r="E124" s="5">
        <v>985.17</v>
      </c>
      <c r="F124" s="3" t="str">
        <f>IF(A124&lt;=[1]Assumptions!$B$4,"Commissioning",IF(A124&lt;=[1]Assumptions!$B$5,"Handover","Recommissioning"))</f>
        <v>Handover</v>
      </c>
      <c r="G124" s="6" t="str">
        <f t="shared" si="1"/>
        <v>2024-05</v>
      </c>
    </row>
    <row r="125" spans="1:7" x14ac:dyDescent="0.3">
      <c r="A125" s="3">
        <v>123</v>
      </c>
      <c r="B125" s="4">
        <v>45417</v>
      </c>
      <c r="C125" s="5">
        <v>0</v>
      </c>
      <c r="D125" s="5">
        <v>1694.51</v>
      </c>
      <c r="E125" s="5">
        <v>1007.35</v>
      </c>
      <c r="F125" s="3" t="str">
        <f>IF(A125&lt;=[1]Assumptions!$B$4,"Commissioning",IF(A125&lt;=[1]Assumptions!$B$5,"Handover","Recommissioning"))</f>
        <v>Handover</v>
      </c>
      <c r="G125" s="6" t="str">
        <f t="shared" si="1"/>
        <v>2024-05</v>
      </c>
    </row>
    <row r="126" spans="1:7" x14ac:dyDescent="0.3">
      <c r="A126" s="3">
        <v>124</v>
      </c>
      <c r="B126" s="4">
        <v>45418</v>
      </c>
      <c r="C126" s="5">
        <v>0</v>
      </c>
      <c r="D126" s="5">
        <v>1668.56</v>
      </c>
      <c r="E126" s="5">
        <v>953.96</v>
      </c>
      <c r="F126" s="3" t="str">
        <f>IF(A126&lt;=[1]Assumptions!$B$4,"Commissioning",IF(A126&lt;=[1]Assumptions!$B$5,"Handover","Recommissioning"))</f>
        <v>Handover</v>
      </c>
      <c r="G126" s="6" t="str">
        <f t="shared" si="1"/>
        <v>2024-05</v>
      </c>
    </row>
    <row r="127" spans="1:7" x14ac:dyDescent="0.3">
      <c r="A127" s="3">
        <v>125</v>
      </c>
      <c r="B127" s="4">
        <v>45419</v>
      </c>
      <c r="C127" s="5">
        <v>0</v>
      </c>
      <c r="D127" s="5">
        <v>1596.98</v>
      </c>
      <c r="E127" s="5">
        <v>972.29</v>
      </c>
      <c r="F127" s="3" t="str">
        <f>IF(A127&lt;=[1]Assumptions!$B$4,"Commissioning",IF(A127&lt;=[1]Assumptions!$B$5,"Handover","Recommissioning"))</f>
        <v>Handover</v>
      </c>
      <c r="G127" s="6" t="str">
        <f t="shared" si="1"/>
        <v>2024-05</v>
      </c>
    </row>
    <row r="128" spans="1:7" x14ac:dyDescent="0.3">
      <c r="A128" s="3">
        <v>126</v>
      </c>
      <c r="B128" s="4">
        <v>45420</v>
      </c>
      <c r="C128" s="5">
        <v>0</v>
      </c>
      <c r="D128" s="5">
        <v>1639.65</v>
      </c>
      <c r="E128" s="5">
        <v>966.61</v>
      </c>
      <c r="F128" s="3" t="str">
        <f>IF(A128&lt;=[1]Assumptions!$B$4,"Commissioning",IF(A128&lt;=[1]Assumptions!$B$5,"Handover","Recommissioning"))</f>
        <v>Handover</v>
      </c>
      <c r="G128" s="6" t="str">
        <f t="shared" si="1"/>
        <v>2024-05</v>
      </c>
    </row>
    <row r="129" spans="1:7" x14ac:dyDescent="0.3">
      <c r="A129" s="3">
        <v>127</v>
      </c>
      <c r="B129" s="4">
        <v>45421</v>
      </c>
      <c r="C129" s="5">
        <v>0</v>
      </c>
      <c r="D129" s="5">
        <v>1594.57</v>
      </c>
      <c r="E129" s="5">
        <v>1005.68</v>
      </c>
      <c r="F129" s="3" t="str">
        <f>IF(A129&lt;=[1]Assumptions!$B$4,"Commissioning",IF(A129&lt;=[1]Assumptions!$B$5,"Handover","Recommissioning"))</f>
        <v>Handover</v>
      </c>
      <c r="G129" s="6" t="str">
        <f t="shared" si="1"/>
        <v>2024-05</v>
      </c>
    </row>
    <row r="130" spans="1:7" x14ac:dyDescent="0.3">
      <c r="A130" s="3">
        <v>128</v>
      </c>
      <c r="B130" s="4">
        <v>45422</v>
      </c>
      <c r="C130" s="5">
        <v>0</v>
      </c>
      <c r="D130" s="5">
        <v>1584.91</v>
      </c>
      <c r="E130" s="5">
        <v>969.62</v>
      </c>
      <c r="F130" s="3" t="str">
        <f>IF(A130&lt;=[1]Assumptions!$B$4,"Commissioning",IF(A130&lt;=[1]Assumptions!$B$5,"Handover","Recommissioning"))</f>
        <v>Handover</v>
      </c>
      <c r="G130" s="6" t="str">
        <f t="shared" si="1"/>
        <v>2024-05</v>
      </c>
    </row>
    <row r="131" spans="1:7" x14ac:dyDescent="0.3">
      <c r="A131" s="3">
        <v>129</v>
      </c>
      <c r="B131" s="4">
        <v>45423</v>
      </c>
      <c r="C131" s="5">
        <v>0</v>
      </c>
      <c r="D131" s="5">
        <v>1701.68</v>
      </c>
      <c r="E131" s="5">
        <v>955.38</v>
      </c>
      <c r="F131" s="3" t="str">
        <f>IF(A131&lt;=[1]Assumptions!$B$4,"Commissioning",IF(A131&lt;=[1]Assumptions!$B$5,"Handover","Recommissioning"))</f>
        <v>Handover</v>
      </c>
      <c r="G131" s="6" t="str">
        <f t="shared" ref="G131:G194" si="2">YEAR(B131)&amp;"-"&amp;TEXT(MONTH(B131),"00")</f>
        <v>2024-05</v>
      </c>
    </row>
    <row r="132" spans="1:7" x14ac:dyDescent="0.3">
      <c r="A132" s="3">
        <v>130</v>
      </c>
      <c r="B132" s="4">
        <v>45424</v>
      </c>
      <c r="C132" s="5">
        <v>0</v>
      </c>
      <c r="D132" s="5">
        <v>1613.54</v>
      </c>
      <c r="E132" s="5">
        <v>1002.25</v>
      </c>
      <c r="F132" s="3" t="str">
        <f>IF(A132&lt;=[1]Assumptions!$B$4,"Commissioning",IF(A132&lt;=[1]Assumptions!$B$5,"Handover","Recommissioning"))</f>
        <v>Handover</v>
      </c>
      <c r="G132" s="6" t="str">
        <f t="shared" si="2"/>
        <v>2024-05</v>
      </c>
    </row>
    <row r="133" spans="1:7" x14ac:dyDescent="0.3">
      <c r="A133" s="3">
        <v>131</v>
      </c>
      <c r="B133" s="4">
        <v>45425</v>
      </c>
      <c r="C133" s="5">
        <v>0</v>
      </c>
      <c r="D133" s="5">
        <v>1554.63</v>
      </c>
      <c r="E133" s="5">
        <v>998.86</v>
      </c>
      <c r="F133" s="3" t="str">
        <f>IF(A133&lt;=[1]Assumptions!$B$4,"Commissioning",IF(A133&lt;=[1]Assumptions!$B$5,"Handover","Recommissioning"))</f>
        <v>Handover</v>
      </c>
      <c r="G133" s="6" t="str">
        <f t="shared" si="2"/>
        <v>2024-05</v>
      </c>
    </row>
    <row r="134" spans="1:7" x14ac:dyDescent="0.3">
      <c r="A134" s="3">
        <v>132</v>
      </c>
      <c r="B134" s="4">
        <v>45426</v>
      </c>
      <c r="C134" s="5">
        <v>0</v>
      </c>
      <c r="D134" s="5">
        <v>1708.45</v>
      </c>
      <c r="E134" s="5">
        <v>957.41</v>
      </c>
      <c r="F134" s="3" t="str">
        <f>IF(A134&lt;=[1]Assumptions!$B$4,"Commissioning",IF(A134&lt;=[1]Assumptions!$B$5,"Handover","Recommissioning"))</f>
        <v>Handover</v>
      </c>
      <c r="G134" s="6" t="str">
        <f t="shared" si="2"/>
        <v>2024-05</v>
      </c>
    </row>
    <row r="135" spans="1:7" x14ac:dyDescent="0.3">
      <c r="A135" s="3">
        <v>133</v>
      </c>
      <c r="B135" s="4">
        <v>45427</v>
      </c>
      <c r="C135" s="5">
        <v>0</v>
      </c>
      <c r="D135" s="5">
        <v>1674.3</v>
      </c>
      <c r="E135" s="5">
        <v>1007.07</v>
      </c>
      <c r="F135" s="3" t="str">
        <f>IF(A135&lt;=[1]Assumptions!$B$4,"Commissioning",IF(A135&lt;=[1]Assumptions!$B$5,"Handover","Recommissioning"))</f>
        <v>Handover</v>
      </c>
      <c r="G135" s="6" t="str">
        <f t="shared" si="2"/>
        <v>2024-05</v>
      </c>
    </row>
    <row r="136" spans="1:7" x14ac:dyDescent="0.3">
      <c r="A136" s="3">
        <v>134</v>
      </c>
      <c r="B136" s="4">
        <v>45428</v>
      </c>
      <c r="C136" s="5">
        <v>0</v>
      </c>
      <c r="D136" s="5">
        <v>1560.72</v>
      </c>
      <c r="E136" s="5">
        <v>975.79</v>
      </c>
      <c r="F136" s="3" t="str">
        <f>IF(A136&lt;=[1]Assumptions!$B$4,"Commissioning",IF(A136&lt;=[1]Assumptions!$B$5,"Handover","Recommissioning"))</f>
        <v>Handover</v>
      </c>
      <c r="G136" s="6" t="str">
        <f t="shared" si="2"/>
        <v>2024-05</v>
      </c>
    </row>
    <row r="137" spans="1:7" x14ac:dyDescent="0.3">
      <c r="A137" s="3">
        <v>135</v>
      </c>
      <c r="B137" s="4">
        <v>45429</v>
      </c>
      <c r="C137" s="5">
        <v>0</v>
      </c>
      <c r="D137" s="5">
        <v>1637.91</v>
      </c>
      <c r="E137" s="5">
        <v>963.78</v>
      </c>
      <c r="F137" s="3" t="str">
        <f>IF(A137&lt;=[1]Assumptions!$B$4,"Commissioning",IF(A137&lt;=[1]Assumptions!$B$5,"Handover","Recommissioning"))</f>
        <v>Handover</v>
      </c>
      <c r="G137" s="6" t="str">
        <f t="shared" si="2"/>
        <v>2024-05</v>
      </c>
    </row>
    <row r="138" spans="1:7" x14ac:dyDescent="0.3">
      <c r="A138" s="3">
        <v>136</v>
      </c>
      <c r="B138" s="4">
        <v>45430</v>
      </c>
      <c r="C138" s="5">
        <v>0</v>
      </c>
      <c r="D138" s="5">
        <v>1634.84</v>
      </c>
      <c r="E138" s="5">
        <v>954.32</v>
      </c>
      <c r="F138" s="3" t="str">
        <f>IF(A138&lt;=[1]Assumptions!$B$4,"Commissioning",IF(A138&lt;=[1]Assumptions!$B$5,"Handover","Recommissioning"))</f>
        <v>Handover</v>
      </c>
      <c r="G138" s="6" t="str">
        <f t="shared" si="2"/>
        <v>2024-05</v>
      </c>
    </row>
    <row r="139" spans="1:7" x14ac:dyDescent="0.3">
      <c r="A139" s="3">
        <v>137</v>
      </c>
      <c r="B139" s="4">
        <v>45431</v>
      </c>
      <c r="C139" s="5">
        <v>0</v>
      </c>
      <c r="D139" s="5">
        <v>1631.28</v>
      </c>
      <c r="E139" s="5">
        <v>955.62</v>
      </c>
      <c r="F139" s="3" t="str">
        <f>IF(A139&lt;=[1]Assumptions!$B$4,"Commissioning",IF(A139&lt;=[1]Assumptions!$B$5,"Handover","Recommissioning"))</f>
        <v>Handover</v>
      </c>
      <c r="G139" s="6" t="str">
        <f t="shared" si="2"/>
        <v>2024-05</v>
      </c>
    </row>
    <row r="140" spans="1:7" x14ac:dyDescent="0.3">
      <c r="A140" s="3">
        <v>138</v>
      </c>
      <c r="B140" s="4">
        <v>45432</v>
      </c>
      <c r="C140" s="5">
        <v>0</v>
      </c>
      <c r="D140" s="5">
        <v>1554.62</v>
      </c>
      <c r="E140" s="5">
        <v>959.37</v>
      </c>
      <c r="F140" s="3" t="str">
        <f>IF(A140&lt;=[1]Assumptions!$B$4,"Commissioning",IF(A140&lt;=[1]Assumptions!$B$5,"Handover","Recommissioning"))</f>
        <v>Handover</v>
      </c>
      <c r="G140" s="6" t="str">
        <f t="shared" si="2"/>
        <v>2024-05</v>
      </c>
    </row>
    <row r="141" spans="1:7" x14ac:dyDescent="0.3">
      <c r="A141" s="3">
        <v>139</v>
      </c>
      <c r="B141" s="4">
        <v>45433</v>
      </c>
      <c r="C141" s="5">
        <v>0</v>
      </c>
      <c r="D141" s="5">
        <v>1640.27</v>
      </c>
      <c r="E141" s="5">
        <v>956.2</v>
      </c>
      <c r="F141" s="3" t="str">
        <f>IF(A141&lt;=[1]Assumptions!$B$4,"Commissioning",IF(A141&lt;=[1]Assumptions!$B$5,"Handover","Recommissioning"))</f>
        <v>Handover</v>
      </c>
      <c r="G141" s="6" t="str">
        <f t="shared" si="2"/>
        <v>2024-05</v>
      </c>
    </row>
    <row r="142" spans="1:7" x14ac:dyDescent="0.3">
      <c r="A142" s="3">
        <v>140</v>
      </c>
      <c r="B142" s="4">
        <v>45434</v>
      </c>
      <c r="C142" s="5">
        <v>0</v>
      </c>
      <c r="D142" s="5">
        <v>1681.3</v>
      </c>
      <c r="E142" s="5">
        <v>991.01</v>
      </c>
      <c r="F142" s="3" t="str">
        <f>IF(A142&lt;=[1]Assumptions!$B$4,"Commissioning",IF(A142&lt;=[1]Assumptions!$B$5,"Handover","Recommissioning"))</f>
        <v>Handover</v>
      </c>
      <c r="G142" s="6" t="str">
        <f t="shared" si="2"/>
        <v>2024-05</v>
      </c>
    </row>
    <row r="143" spans="1:7" x14ac:dyDescent="0.3">
      <c r="A143" s="3">
        <v>141</v>
      </c>
      <c r="B143" s="4">
        <v>45435</v>
      </c>
      <c r="C143" s="5">
        <v>0</v>
      </c>
      <c r="D143" s="5">
        <v>1676.68</v>
      </c>
      <c r="E143" s="5">
        <v>1007.54</v>
      </c>
      <c r="F143" s="3" t="str">
        <f>IF(A143&lt;=[1]Assumptions!$B$4,"Commissioning",IF(A143&lt;=[1]Assumptions!$B$5,"Handover","Recommissioning"))</f>
        <v>Handover</v>
      </c>
      <c r="G143" s="6" t="str">
        <f t="shared" si="2"/>
        <v>2024-05</v>
      </c>
    </row>
    <row r="144" spans="1:7" x14ac:dyDescent="0.3">
      <c r="A144" s="3">
        <v>142</v>
      </c>
      <c r="B144" s="4">
        <v>45436</v>
      </c>
      <c r="C144" s="5">
        <v>0</v>
      </c>
      <c r="D144" s="5">
        <v>1617.11</v>
      </c>
      <c r="E144" s="5">
        <v>997.76</v>
      </c>
      <c r="F144" s="3" t="str">
        <f>IF(A144&lt;=[1]Assumptions!$B$4,"Commissioning",IF(A144&lt;=[1]Assumptions!$B$5,"Handover","Recommissioning"))</f>
        <v>Handover</v>
      </c>
      <c r="G144" s="6" t="str">
        <f t="shared" si="2"/>
        <v>2024-05</v>
      </c>
    </row>
    <row r="145" spans="1:7" x14ac:dyDescent="0.3">
      <c r="A145" s="3">
        <v>143</v>
      </c>
      <c r="B145" s="4">
        <v>45437</v>
      </c>
      <c r="C145" s="5">
        <v>0</v>
      </c>
      <c r="D145" s="5">
        <v>1560.92</v>
      </c>
      <c r="E145" s="5">
        <v>978.93</v>
      </c>
      <c r="F145" s="3" t="str">
        <f>IF(A145&lt;=[1]Assumptions!$B$4,"Commissioning",IF(A145&lt;=[1]Assumptions!$B$5,"Handover","Recommissioning"))</f>
        <v>Handover</v>
      </c>
      <c r="G145" s="6" t="str">
        <f t="shared" si="2"/>
        <v>2024-05</v>
      </c>
    </row>
    <row r="146" spans="1:7" x14ac:dyDescent="0.3">
      <c r="A146" s="3">
        <v>144</v>
      </c>
      <c r="B146" s="4">
        <v>45438</v>
      </c>
      <c r="C146" s="5">
        <v>0</v>
      </c>
      <c r="D146" s="5">
        <v>1569.26</v>
      </c>
      <c r="E146" s="5">
        <v>1003.01</v>
      </c>
      <c r="F146" s="3" t="str">
        <f>IF(A146&lt;=[1]Assumptions!$B$4,"Commissioning",IF(A146&lt;=[1]Assumptions!$B$5,"Handover","Recommissioning"))</f>
        <v>Handover</v>
      </c>
      <c r="G146" s="6" t="str">
        <f t="shared" si="2"/>
        <v>2024-05</v>
      </c>
    </row>
    <row r="147" spans="1:7" x14ac:dyDescent="0.3">
      <c r="A147" s="3">
        <v>145</v>
      </c>
      <c r="B147" s="4">
        <v>45439</v>
      </c>
      <c r="C147" s="5">
        <v>0</v>
      </c>
      <c r="D147" s="5">
        <v>1589.44</v>
      </c>
      <c r="E147" s="5">
        <v>978.67</v>
      </c>
      <c r="F147" s="3" t="str">
        <f>IF(A147&lt;=[1]Assumptions!$B$4,"Commissioning",IF(A147&lt;=[1]Assumptions!$B$5,"Handover","Recommissioning"))</f>
        <v>Handover</v>
      </c>
      <c r="G147" s="6" t="str">
        <f t="shared" si="2"/>
        <v>2024-05</v>
      </c>
    </row>
    <row r="148" spans="1:7" x14ac:dyDescent="0.3">
      <c r="A148" s="3">
        <v>146</v>
      </c>
      <c r="B148" s="4">
        <v>45440</v>
      </c>
      <c r="C148" s="5">
        <v>0</v>
      </c>
      <c r="D148" s="5">
        <v>1692.9</v>
      </c>
      <c r="E148" s="5">
        <v>998.64</v>
      </c>
      <c r="F148" s="3" t="str">
        <f>IF(A148&lt;=[1]Assumptions!$B$4,"Commissioning",IF(A148&lt;=[1]Assumptions!$B$5,"Handover","Recommissioning"))</f>
        <v>Handover</v>
      </c>
      <c r="G148" s="6" t="str">
        <f t="shared" si="2"/>
        <v>2024-05</v>
      </c>
    </row>
    <row r="149" spans="1:7" x14ac:dyDescent="0.3">
      <c r="A149" s="3">
        <v>147</v>
      </c>
      <c r="B149" s="4">
        <v>45441</v>
      </c>
      <c r="C149" s="5">
        <v>0</v>
      </c>
      <c r="D149" s="5">
        <v>1592.71</v>
      </c>
      <c r="E149" s="5">
        <v>988.12</v>
      </c>
      <c r="F149" s="3" t="str">
        <f>IF(A149&lt;=[1]Assumptions!$B$4,"Commissioning",IF(A149&lt;=[1]Assumptions!$B$5,"Handover","Recommissioning"))</f>
        <v>Handover</v>
      </c>
      <c r="G149" s="6" t="str">
        <f t="shared" si="2"/>
        <v>2024-05</v>
      </c>
    </row>
    <row r="150" spans="1:7" x14ac:dyDescent="0.3">
      <c r="A150" s="3">
        <v>148</v>
      </c>
      <c r="B150" s="4">
        <v>45442</v>
      </c>
      <c r="C150" s="5">
        <v>0</v>
      </c>
      <c r="D150" s="5">
        <v>1709.96</v>
      </c>
      <c r="E150" s="5">
        <v>995.78</v>
      </c>
      <c r="F150" s="3" t="str">
        <f>IF(A150&lt;=[1]Assumptions!$B$4,"Commissioning",IF(A150&lt;=[1]Assumptions!$B$5,"Handover","Recommissioning"))</f>
        <v>Handover</v>
      </c>
      <c r="G150" s="6" t="str">
        <f t="shared" si="2"/>
        <v>2024-05</v>
      </c>
    </row>
    <row r="151" spans="1:7" x14ac:dyDescent="0.3">
      <c r="A151" s="3">
        <v>149</v>
      </c>
      <c r="B151" s="4">
        <v>45443</v>
      </c>
      <c r="C151" s="5">
        <v>0</v>
      </c>
      <c r="D151" s="5">
        <v>1607.73</v>
      </c>
      <c r="E151" s="5">
        <v>1008.64</v>
      </c>
      <c r="F151" s="3" t="str">
        <f>IF(A151&lt;=[1]Assumptions!$B$4,"Commissioning",IF(A151&lt;=[1]Assumptions!$B$5,"Handover","Recommissioning"))</f>
        <v>Handover</v>
      </c>
      <c r="G151" s="6" t="str">
        <f t="shared" si="2"/>
        <v>2024-05</v>
      </c>
    </row>
    <row r="152" spans="1:7" x14ac:dyDescent="0.3">
      <c r="A152" s="3">
        <v>150</v>
      </c>
      <c r="B152" s="4">
        <v>45444</v>
      </c>
      <c r="C152" s="5">
        <v>0</v>
      </c>
      <c r="D152" s="5">
        <v>1563.97</v>
      </c>
      <c r="E152" s="5">
        <v>999.88</v>
      </c>
      <c r="F152" s="3" t="str">
        <f>IF(A152&lt;=[1]Assumptions!$B$4,"Commissioning",IF(A152&lt;=[1]Assumptions!$B$5,"Handover","Recommissioning"))</f>
        <v>Handover</v>
      </c>
      <c r="G152" s="6" t="str">
        <f t="shared" si="2"/>
        <v>2024-06</v>
      </c>
    </row>
    <row r="153" spans="1:7" x14ac:dyDescent="0.3">
      <c r="A153" s="3">
        <v>151</v>
      </c>
      <c r="B153" s="4">
        <v>45445</v>
      </c>
      <c r="C153" s="5">
        <v>54.24</v>
      </c>
      <c r="D153" s="5">
        <v>1623.23</v>
      </c>
      <c r="E153" s="5">
        <v>945.76</v>
      </c>
      <c r="F153" s="3" t="str">
        <f>IF(A153&lt;=[1]Assumptions!$B$4,"Commissioning",IF(A153&lt;=[1]Assumptions!$B$5,"Handover","Recommissioning"))</f>
        <v>Handover</v>
      </c>
      <c r="G153" s="6" t="str">
        <f t="shared" si="2"/>
        <v>2024-06</v>
      </c>
    </row>
    <row r="154" spans="1:7" x14ac:dyDescent="0.3">
      <c r="A154" s="3">
        <v>152</v>
      </c>
      <c r="B154" s="4">
        <v>45446</v>
      </c>
      <c r="C154" s="5">
        <v>584.96</v>
      </c>
      <c r="D154" s="5">
        <v>778.45</v>
      </c>
      <c r="E154" s="5">
        <v>415.04</v>
      </c>
      <c r="F154" s="3" t="str">
        <f>IF(A154&lt;=[1]Assumptions!$B$4,"Commissioning",IF(A154&lt;=[1]Assumptions!$B$5,"Handover","Recommissioning"))</f>
        <v>Handover</v>
      </c>
      <c r="G154" s="6" t="str">
        <f t="shared" si="2"/>
        <v>2024-06</v>
      </c>
    </row>
    <row r="155" spans="1:7" x14ac:dyDescent="0.3">
      <c r="A155" s="3">
        <v>153</v>
      </c>
      <c r="B155" s="4">
        <v>45447</v>
      </c>
      <c r="C155" s="5">
        <v>1131.79</v>
      </c>
      <c r="D155" s="5">
        <v>0</v>
      </c>
      <c r="E155" s="5">
        <v>0</v>
      </c>
      <c r="F155" s="3" t="str">
        <f>IF(A155&lt;=[1]Assumptions!$B$4,"Commissioning",IF(A155&lt;=[1]Assumptions!$B$5,"Handover","Recommissioning"))</f>
        <v>Handover</v>
      </c>
      <c r="G155" s="6" t="str">
        <f t="shared" si="2"/>
        <v>2024-06</v>
      </c>
    </row>
    <row r="156" spans="1:7" x14ac:dyDescent="0.3">
      <c r="A156" s="3">
        <v>154</v>
      </c>
      <c r="B156" s="4">
        <v>45448</v>
      </c>
      <c r="C156" s="5">
        <v>1190.1300000000001</v>
      </c>
      <c r="D156" s="5">
        <v>0</v>
      </c>
      <c r="E156" s="5">
        <v>0</v>
      </c>
      <c r="F156" s="3" t="str">
        <f>IF(A156&lt;=[1]Assumptions!$B$4,"Commissioning",IF(A156&lt;=[1]Assumptions!$B$5,"Handover","Recommissioning"))</f>
        <v>Handover</v>
      </c>
      <c r="G156" s="6" t="str">
        <f t="shared" si="2"/>
        <v>2024-06</v>
      </c>
    </row>
    <row r="157" spans="1:7" x14ac:dyDescent="0.3">
      <c r="A157" s="3">
        <v>155</v>
      </c>
      <c r="B157" s="4">
        <v>45449</v>
      </c>
      <c r="C157" s="5">
        <v>1302.22</v>
      </c>
      <c r="D157" s="5">
        <v>0</v>
      </c>
      <c r="E157" s="5">
        <v>0</v>
      </c>
      <c r="F157" s="3" t="str">
        <f>IF(A157&lt;=[1]Assumptions!$B$4,"Commissioning",IF(A157&lt;=[1]Assumptions!$B$5,"Handover","Recommissioning"))</f>
        <v>Handover</v>
      </c>
      <c r="G157" s="6" t="str">
        <f t="shared" si="2"/>
        <v>2024-06</v>
      </c>
    </row>
    <row r="158" spans="1:7" x14ac:dyDescent="0.3">
      <c r="A158" s="3">
        <v>156</v>
      </c>
      <c r="B158" s="4">
        <v>45450</v>
      </c>
      <c r="C158" s="5">
        <v>826.54</v>
      </c>
      <c r="D158" s="5">
        <v>645.23</v>
      </c>
      <c r="E158" s="5">
        <v>173.46</v>
      </c>
      <c r="F158" s="3" t="str">
        <f>IF(A158&lt;=[1]Assumptions!$B$4,"Commissioning",IF(A158&lt;=[1]Assumptions!$B$5,"Handover","Recommissioning"))</f>
        <v>Handover</v>
      </c>
      <c r="G158" s="6" t="str">
        <f t="shared" si="2"/>
        <v>2024-06</v>
      </c>
    </row>
    <row r="159" spans="1:7" x14ac:dyDescent="0.3">
      <c r="A159" s="3">
        <v>157</v>
      </c>
      <c r="B159" s="4">
        <v>45451</v>
      </c>
      <c r="C159" s="5">
        <v>0</v>
      </c>
      <c r="D159" s="5">
        <v>1773.45</v>
      </c>
      <c r="E159" s="5">
        <v>1003.23</v>
      </c>
      <c r="F159" s="3" t="str">
        <f>IF(A159&lt;=[1]Assumptions!$B$4,"Commissioning",IF(A159&lt;=[1]Assumptions!$B$5,"Handover","Recommissioning"))</f>
        <v>Handover</v>
      </c>
      <c r="G159" s="6" t="str">
        <f t="shared" si="2"/>
        <v>2024-06</v>
      </c>
    </row>
    <row r="160" spans="1:7" x14ac:dyDescent="0.3">
      <c r="A160" s="3">
        <v>158</v>
      </c>
      <c r="B160" s="4">
        <v>45452</v>
      </c>
      <c r="C160" s="5">
        <v>0</v>
      </c>
      <c r="D160" s="5">
        <v>1673.54</v>
      </c>
      <c r="E160" s="5">
        <v>956.23</v>
      </c>
      <c r="F160" s="3" t="str">
        <f>IF(A160&lt;=[1]Assumptions!$B$4,"Commissioning",IF(A160&lt;=[1]Assumptions!$B$5,"Handover","Recommissioning"))</f>
        <v>Handover</v>
      </c>
      <c r="G160" s="6" t="str">
        <f t="shared" si="2"/>
        <v>2024-06</v>
      </c>
    </row>
    <row r="161" spans="1:7" x14ac:dyDescent="0.3">
      <c r="A161" s="3">
        <v>159</v>
      </c>
      <c r="B161" s="4">
        <v>45453</v>
      </c>
      <c r="C161" s="5">
        <v>475.92</v>
      </c>
      <c r="D161" s="5">
        <v>778.34</v>
      </c>
      <c r="E161" s="5">
        <v>524.08000000000004</v>
      </c>
      <c r="F161" s="3" t="str">
        <f>IF(A161&lt;=[1]Assumptions!$B$4,"Commissioning",IF(A161&lt;=[1]Assumptions!$B$5,"Handover","Recommissioning"))</f>
        <v>Handover</v>
      </c>
      <c r="G161" s="6" t="str">
        <f t="shared" si="2"/>
        <v>2024-06</v>
      </c>
    </row>
    <row r="162" spans="1:7" x14ac:dyDescent="0.3">
      <c r="A162" s="3">
        <v>160</v>
      </c>
      <c r="B162" s="4">
        <v>45454</v>
      </c>
      <c r="C162" s="5">
        <v>965.26</v>
      </c>
      <c r="D162" s="5">
        <v>0</v>
      </c>
      <c r="E162" s="5">
        <v>34.74</v>
      </c>
      <c r="F162" s="3" t="str">
        <f>IF(A162&lt;=[1]Assumptions!$B$4,"Commissioning",IF(A162&lt;=[1]Assumptions!$B$5,"Handover","Recommissioning"))</f>
        <v>Handover</v>
      </c>
      <c r="G162" s="6" t="str">
        <f t="shared" si="2"/>
        <v>2024-06</v>
      </c>
    </row>
    <row r="163" spans="1:7" x14ac:dyDescent="0.3">
      <c r="A163" s="3">
        <v>161</v>
      </c>
      <c r="B163" s="4">
        <v>45455</v>
      </c>
      <c r="C163" s="5">
        <v>939.58</v>
      </c>
      <c r="D163" s="5">
        <v>0</v>
      </c>
      <c r="E163" s="5">
        <v>60.42</v>
      </c>
      <c r="F163" s="3" t="str">
        <f>IF(A163&lt;=[1]Assumptions!$B$4,"Commissioning",IF(A163&lt;=[1]Assumptions!$B$5,"Handover","Recommissioning"))</f>
        <v>Handover</v>
      </c>
      <c r="G163" s="6" t="str">
        <f t="shared" si="2"/>
        <v>2024-06</v>
      </c>
    </row>
    <row r="164" spans="1:7" x14ac:dyDescent="0.3">
      <c r="A164" s="3">
        <v>162</v>
      </c>
      <c r="B164" s="4">
        <v>45456</v>
      </c>
      <c r="C164" s="5">
        <v>703.56</v>
      </c>
      <c r="D164" s="5">
        <v>544.22</v>
      </c>
      <c r="E164" s="5">
        <v>296.44</v>
      </c>
      <c r="F164" s="3" t="str">
        <f>IF(A164&lt;=[1]Assumptions!$B$4,"Commissioning",IF(A164&lt;=[1]Assumptions!$B$5,"Handover","Recommissioning"))</f>
        <v>Handover</v>
      </c>
      <c r="G164" s="6" t="str">
        <f t="shared" si="2"/>
        <v>2024-06</v>
      </c>
    </row>
    <row r="165" spans="1:7" x14ac:dyDescent="0.3">
      <c r="A165" s="3">
        <v>163</v>
      </c>
      <c r="B165" s="4">
        <v>45457</v>
      </c>
      <c r="C165" s="5">
        <v>4.05</v>
      </c>
      <c r="D165" s="5">
        <v>1432.54</v>
      </c>
      <c r="E165" s="5">
        <v>995.95</v>
      </c>
      <c r="F165" s="3" t="str">
        <f>IF(A165&lt;=[1]Assumptions!$B$4,"Commissioning",IF(A165&lt;=[1]Assumptions!$B$5,"Handover","Recommissioning"))</f>
        <v>Handover</v>
      </c>
      <c r="G165" s="6" t="str">
        <f t="shared" si="2"/>
        <v>2024-06</v>
      </c>
    </row>
    <row r="166" spans="1:7" x14ac:dyDescent="0.3">
      <c r="A166" s="3">
        <v>164</v>
      </c>
      <c r="B166" s="4">
        <v>45458</v>
      </c>
      <c r="C166" s="5">
        <v>0</v>
      </c>
      <c r="D166" s="5">
        <v>1615.58</v>
      </c>
      <c r="E166" s="5">
        <v>912.23</v>
      </c>
      <c r="F166" s="3" t="str">
        <f>IF(A166&lt;=[1]Assumptions!$B$4,"Commissioning",IF(A166&lt;=[1]Assumptions!$B$5,"Handover","Recommissioning"))</f>
        <v>Handover</v>
      </c>
      <c r="G166" s="6" t="str">
        <f t="shared" si="2"/>
        <v>2024-06</v>
      </c>
    </row>
    <row r="167" spans="1:7" x14ac:dyDescent="0.3">
      <c r="A167" s="3">
        <v>165</v>
      </c>
      <c r="B167" s="4">
        <v>45459</v>
      </c>
      <c r="C167" s="5">
        <v>0</v>
      </c>
      <c r="D167" s="5">
        <v>1627.23</v>
      </c>
      <c r="E167" s="5">
        <v>1010.3</v>
      </c>
      <c r="F167" s="3" t="str">
        <f>IF(A167&lt;=[1]Assumptions!$B$4,"Commissioning",IF(A167&lt;=[1]Assumptions!$B$5,"Handover","Recommissioning"))</f>
        <v>Handover</v>
      </c>
      <c r="G167" s="6" t="str">
        <f t="shared" si="2"/>
        <v>2024-06</v>
      </c>
    </row>
    <row r="168" spans="1:7" x14ac:dyDescent="0.3">
      <c r="A168" s="3">
        <v>166</v>
      </c>
      <c r="B168" s="4">
        <v>45460</v>
      </c>
      <c r="C168" s="5">
        <v>2.37</v>
      </c>
      <c r="D168" s="5">
        <v>1665.43</v>
      </c>
      <c r="E168" s="5">
        <v>997.63</v>
      </c>
      <c r="F168" s="3" t="str">
        <f>IF(A168&lt;=[1]Assumptions!$B$4,"Commissioning",IF(A168&lt;=[1]Assumptions!$B$5,"Handover","Recommissioning"))</f>
        <v>Handover</v>
      </c>
      <c r="G168" s="6" t="str">
        <f t="shared" si="2"/>
        <v>2024-06</v>
      </c>
    </row>
    <row r="169" spans="1:7" x14ac:dyDescent="0.3">
      <c r="A169" s="3">
        <v>167</v>
      </c>
      <c r="B169" s="4">
        <v>45461</v>
      </c>
      <c r="C169" s="5">
        <v>3.3</v>
      </c>
      <c r="D169" s="5">
        <v>1710.33</v>
      </c>
      <c r="E169" s="5">
        <v>996.7</v>
      </c>
      <c r="F169" s="3" t="str">
        <f>IF(A169&lt;=[1]Assumptions!$B$4,"Commissioning",IF(A169&lt;=[1]Assumptions!$B$5,"Handover","Recommissioning"))</f>
        <v>Handover</v>
      </c>
      <c r="G169" s="6" t="str">
        <f t="shared" si="2"/>
        <v>2024-06</v>
      </c>
    </row>
    <row r="170" spans="1:7" x14ac:dyDescent="0.3">
      <c r="A170" s="3">
        <v>168</v>
      </c>
      <c r="B170" s="4">
        <v>45462</v>
      </c>
      <c r="C170" s="5">
        <v>18.63</v>
      </c>
      <c r="D170" s="5">
        <v>1461.91</v>
      </c>
      <c r="E170" s="5">
        <v>981.37</v>
      </c>
      <c r="F170" s="3" t="str">
        <f>IF(A170&lt;=[1]Assumptions!$B$4,"Commissioning",IF(A170&lt;=[1]Assumptions!$B$5,"Handover","Recommissioning"))</f>
        <v>Handover</v>
      </c>
      <c r="G170" s="6" t="str">
        <f t="shared" si="2"/>
        <v>2024-06</v>
      </c>
    </row>
    <row r="171" spans="1:7" x14ac:dyDescent="0.3">
      <c r="A171" s="3">
        <v>169</v>
      </c>
      <c r="B171" s="4">
        <v>45463</v>
      </c>
      <c r="C171" s="5">
        <v>160.94999999999999</v>
      </c>
      <c r="D171" s="5">
        <v>1310.33</v>
      </c>
      <c r="E171" s="5">
        <v>839.05</v>
      </c>
      <c r="F171" s="3" t="str">
        <f>IF(A171&lt;=[1]Assumptions!$B$4,"Commissioning",IF(A171&lt;=[1]Assumptions!$B$5,"Handover","Recommissioning"))</f>
        <v>Handover</v>
      </c>
      <c r="G171" s="6" t="str">
        <f t="shared" si="2"/>
        <v>2024-06</v>
      </c>
    </row>
    <row r="172" spans="1:7" x14ac:dyDescent="0.3">
      <c r="A172" s="3">
        <v>170</v>
      </c>
      <c r="B172" s="4">
        <v>45464</v>
      </c>
      <c r="C172" s="5">
        <v>0</v>
      </c>
      <c r="D172" s="5">
        <v>1634.86</v>
      </c>
      <c r="E172" s="5">
        <v>1005.1</v>
      </c>
      <c r="F172" s="3" t="str">
        <f>IF(A172&lt;=[1]Assumptions!$B$4,"Commissioning",IF(A172&lt;=[1]Assumptions!$B$5,"Handover","Recommissioning"))</f>
        <v>Handover</v>
      </c>
      <c r="G172" s="6" t="str">
        <f t="shared" si="2"/>
        <v>2024-06</v>
      </c>
    </row>
    <row r="173" spans="1:7" x14ac:dyDescent="0.3">
      <c r="A173" s="3">
        <v>171</v>
      </c>
      <c r="B173" s="4">
        <v>45465</v>
      </c>
      <c r="C173" s="5">
        <v>0</v>
      </c>
      <c r="D173" s="5">
        <v>1606.19</v>
      </c>
      <c r="E173" s="5">
        <v>995.28</v>
      </c>
      <c r="F173" s="3" t="str">
        <f>IF(A173&lt;=[1]Assumptions!$B$4,"Commissioning",IF(A173&lt;=[1]Assumptions!$B$5,"Handover","Recommissioning"))</f>
        <v>Handover</v>
      </c>
      <c r="G173" s="6" t="str">
        <f t="shared" si="2"/>
        <v>2024-06</v>
      </c>
    </row>
    <row r="174" spans="1:7" x14ac:dyDescent="0.3">
      <c r="A174" s="3">
        <v>172</v>
      </c>
      <c r="B174" s="4">
        <v>45466</v>
      </c>
      <c r="C174" s="5">
        <v>0</v>
      </c>
      <c r="D174" s="5">
        <v>1615.58</v>
      </c>
      <c r="E174" s="5">
        <v>971.46</v>
      </c>
      <c r="F174" s="3" t="str">
        <f>IF(A174&lt;=[1]Assumptions!$B$4,"Commissioning",IF(A174&lt;=[1]Assumptions!$B$5,"Handover","Recommissioning"))</f>
        <v>Handover</v>
      </c>
      <c r="G174" s="6" t="str">
        <f t="shared" si="2"/>
        <v>2024-06</v>
      </c>
    </row>
    <row r="175" spans="1:7" x14ac:dyDescent="0.3">
      <c r="A175" s="3">
        <v>173</v>
      </c>
      <c r="B175" s="4">
        <v>45467</v>
      </c>
      <c r="C175" s="5">
        <v>0</v>
      </c>
      <c r="D175" s="5">
        <v>1623.9</v>
      </c>
      <c r="E175" s="5">
        <v>1001.7</v>
      </c>
      <c r="F175" s="3" t="str">
        <f>IF(A175&lt;=[1]Assumptions!$B$4,"Commissioning",IF(A175&lt;=[1]Assumptions!$B$5,"Handover","Recommissioning"))</f>
        <v>Handover</v>
      </c>
      <c r="G175" s="6" t="str">
        <f t="shared" si="2"/>
        <v>2024-06</v>
      </c>
    </row>
    <row r="176" spans="1:7" x14ac:dyDescent="0.3">
      <c r="A176" s="3">
        <v>174</v>
      </c>
      <c r="B176" s="4">
        <v>45468</v>
      </c>
      <c r="C176" s="5">
        <v>0</v>
      </c>
      <c r="D176" s="5">
        <v>1661.92</v>
      </c>
      <c r="E176" s="5">
        <v>994.79</v>
      </c>
      <c r="F176" s="3" t="str">
        <f>IF(A176&lt;=[1]Assumptions!$B$4,"Commissioning",IF(A176&lt;=[1]Assumptions!$B$5,"Handover","Recommissioning"))</f>
        <v>Handover</v>
      </c>
      <c r="G176" s="6" t="str">
        <f t="shared" si="2"/>
        <v>2024-06</v>
      </c>
    </row>
    <row r="177" spans="1:7" x14ac:dyDescent="0.3">
      <c r="A177" s="3">
        <v>175</v>
      </c>
      <c r="B177" s="4">
        <v>45469</v>
      </c>
      <c r="C177" s="5">
        <v>0</v>
      </c>
      <c r="D177" s="5">
        <v>1710.33</v>
      </c>
      <c r="E177" s="5">
        <v>971.28</v>
      </c>
      <c r="F177" s="3" t="str">
        <f>IF(A177&lt;=[1]Assumptions!$B$4,"Commissioning",IF(A177&lt;=[1]Assumptions!$B$5,"Handover","Recommissioning"))</f>
        <v>Handover</v>
      </c>
      <c r="G177" s="6" t="str">
        <f t="shared" si="2"/>
        <v>2024-06</v>
      </c>
    </row>
    <row r="178" spans="1:7" x14ac:dyDescent="0.3">
      <c r="A178" s="3">
        <v>176</v>
      </c>
      <c r="B178" s="4">
        <v>45470</v>
      </c>
      <c r="C178" s="5">
        <v>0</v>
      </c>
      <c r="D178" s="5">
        <v>1622.07</v>
      </c>
      <c r="E178" s="5">
        <v>997.42</v>
      </c>
      <c r="F178" s="3" t="str">
        <f>IF(A178&lt;=[1]Assumptions!$B$4,"Commissioning",IF(A178&lt;=[1]Assumptions!$B$5,"Handover","Recommissioning"))</f>
        <v>Handover</v>
      </c>
      <c r="G178" s="6" t="str">
        <f t="shared" si="2"/>
        <v>2024-06</v>
      </c>
    </row>
    <row r="179" spans="1:7" x14ac:dyDescent="0.3">
      <c r="A179" s="3">
        <v>177</v>
      </c>
      <c r="B179" s="4">
        <v>45471</v>
      </c>
      <c r="C179" s="5">
        <v>0</v>
      </c>
      <c r="D179" s="5">
        <v>1707.59</v>
      </c>
      <c r="E179" s="5">
        <v>962.42</v>
      </c>
      <c r="F179" s="3" t="str">
        <f>IF(A179&lt;=[1]Assumptions!$B$4,"Commissioning",IF(A179&lt;=[1]Assumptions!$B$5,"Handover","Recommissioning"))</f>
        <v>Handover</v>
      </c>
      <c r="G179" s="6" t="str">
        <f t="shared" si="2"/>
        <v>2024-06</v>
      </c>
    </row>
    <row r="180" spans="1:7" x14ac:dyDescent="0.3">
      <c r="A180" s="3">
        <v>178</v>
      </c>
      <c r="B180" s="4">
        <v>45472</v>
      </c>
      <c r="C180" s="5">
        <v>0</v>
      </c>
      <c r="D180" s="5">
        <v>1611.97</v>
      </c>
      <c r="E180" s="5">
        <v>974.87</v>
      </c>
      <c r="F180" s="3" t="str">
        <f>IF(A180&lt;=[1]Assumptions!$B$4,"Commissioning",IF(A180&lt;=[1]Assumptions!$B$5,"Handover","Recommissioning"))</f>
        <v>Handover</v>
      </c>
      <c r="G180" s="6" t="str">
        <f t="shared" si="2"/>
        <v>2024-06</v>
      </c>
    </row>
    <row r="181" spans="1:7" x14ac:dyDescent="0.3">
      <c r="A181" s="3">
        <v>179</v>
      </c>
      <c r="B181" s="4">
        <v>45473</v>
      </c>
      <c r="C181" s="5">
        <v>0</v>
      </c>
      <c r="D181" s="5">
        <v>1642.39</v>
      </c>
      <c r="E181" s="5">
        <v>999.83</v>
      </c>
      <c r="F181" s="3" t="str">
        <f>IF(A181&lt;=[1]Assumptions!$B$4,"Commissioning",IF(A181&lt;=[1]Assumptions!$B$5,"Handover","Recommissioning"))</f>
        <v>Handover</v>
      </c>
      <c r="G181" s="6" t="str">
        <f t="shared" si="2"/>
        <v>2024-06</v>
      </c>
    </row>
    <row r="182" spans="1:7" x14ac:dyDescent="0.3">
      <c r="A182" s="3">
        <v>180</v>
      </c>
      <c r="B182" s="4">
        <v>45474</v>
      </c>
      <c r="C182" s="5">
        <v>0</v>
      </c>
      <c r="D182" s="5">
        <v>1634.11</v>
      </c>
      <c r="E182" s="5">
        <v>986.7</v>
      </c>
      <c r="F182" s="3" t="str">
        <f>IF(A182&lt;=[1]Assumptions!$B$4,"Commissioning",IF(A182&lt;=[1]Assumptions!$B$5,"Handover","Recommissioning"))</f>
        <v>Handover</v>
      </c>
      <c r="G182" s="6" t="str">
        <f t="shared" si="2"/>
        <v>2024-07</v>
      </c>
    </row>
    <row r="183" spans="1:7" x14ac:dyDescent="0.3">
      <c r="A183" s="3">
        <v>181</v>
      </c>
      <c r="B183" s="4">
        <v>45475</v>
      </c>
      <c r="C183" s="5">
        <v>0</v>
      </c>
      <c r="D183" s="5">
        <v>1637.35</v>
      </c>
      <c r="E183" s="5">
        <v>989.98</v>
      </c>
      <c r="F183" s="3" t="str">
        <f>IF(A183&lt;=[1]Assumptions!$B$4,"Commissioning",IF(A183&lt;=[1]Assumptions!$B$5,"Handover","Recommissioning"))</f>
        <v>Handover</v>
      </c>
      <c r="G183" s="6" t="str">
        <f t="shared" si="2"/>
        <v>2024-07</v>
      </c>
    </row>
    <row r="184" spans="1:7" x14ac:dyDescent="0.3">
      <c r="A184" s="3">
        <v>182</v>
      </c>
      <c r="B184" s="4">
        <v>45476</v>
      </c>
      <c r="C184" s="5">
        <v>0</v>
      </c>
      <c r="D184" s="5">
        <v>1623.85</v>
      </c>
      <c r="E184" s="5">
        <v>993.15</v>
      </c>
      <c r="F184" s="3" t="str">
        <f>IF(A184&lt;=[1]Assumptions!$B$4,"Commissioning",IF(A184&lt;=[1]Assumptions!$B$5,"Handover","Recommissioning"))</f>
        <v>Handover</v>
      </c>
      <c r="G184" s="6" t="str">
        <f t="shared" si="2"/>
        <v>2024-07</v>
      </c>
    </row>
    <row r="185" spans="1:7" x14ac:dyDescent="0.3">
      <c r="A185" s="3">
        <v>183</v>
      </c>
      <c r="B185" s="4">
        <v>45477</v>
      </c>
      <c r="C185" s="5">
        <v>0</v>
      </c>
      <c r="D185" s="5">
        <v>1666.51</v>
      </c>
      <c r="E185" s="5">
        <v>996.24</v>
      </c>
      <c r="F185" s="3" t="str">
        <f>IF(A185&lt;=[1]Assumptions!$B$4,"Commissioning",IF(A185&lt;=[1]Assumptions!$B$5,"Handover","Recommissioning"))</f>
        <v>Handover</v>
      </c>
      <c r="G185" s="6" t="str">
        <f t="shared" si="2"/>
        <v>2024-07</v>
      </c>
    </row>
    <row r="186" spans="1:7" x14ac:dyDescent="0.3">
      <c r="A186" s="3">
        <v>184</v>
      </c>
      <c r="B186" s="4">
        <v>45478</v>
      </c>
      <c r="C186" s="5">
        <v>0</v>
      </c>
      <c r="D186" s="5">
        <v>1586.63</v>
      </c>
      <c r="E186" s="5">
        <v>967.64</v>
      </c>
      <c r="F186" s="3" t="str">
        <f>IF(A186&lt;=[1]Assumptions!$B$4,"Commissioning",IF(A186&lt;=[1]Assumptions!$B$5,"Handover","Recommissioning"))</f>
        <v>Handover</v>
      </c>
      <c r="G186" s="6" t="str">
        <f t="shared" si="2"/>
        <v>2024-07</v>
      </c>
    </row>
    <row r="187" spans="1:7" x14ac:dyDescent="0.3">
      <c r="A187" s="3">
        <v>185</v>
      </c>
      <c r="B187" s="4">
        <v>45479</v>
      </c>
      <c r="C187" s="5">
        <v>0</v>
      </c>
      <c r="D187" s="5">
        <v>1641.68</v>
      </c>
      <c r="E187" s="5">
        <v>975.32</v>
      </c>
      <c r="F187" s="3" t="str">
        <f>IF(A187&lt;=[1]Assumptions!$B$4,"Commissioning",IF(A187&lt;=[1]Assumptions!$B$5,"Handover","Recommissioning"))</f>
        <v>Handover</v>
      </c>
      <c r="G187" s="6" t="str">
        <f t="shared" si="2"/>
        <v>2024-07</v>
      </c>
    </row>
    <row r="188" spans="1:7" x14ac:dyDescent="0.3">
      <c r="A188" s="3">
        <v>186</v>
      </c>
      <c r="B188" s="4">
        <v>45480</v>
      </c>
      <c r="C188" s="5">
        <v>0</v>
      </c>
      <c r="D188" s="5">
        <v>1565.66</v>
      </c>
      <c r="E188" s="5">
        <v>956.65</v>
      </c>
      <c r="F188" s="3" t="str">
        <f>IF(A188&lt;=[1]Assumptions!$B$4,"Commissioning",IF(A188&lt;=[1]Assumptions!$B$5,"Handover","Recommissioning"))</f>
        <v>Handover</v>
      </c>
      <c r="G188" s="6" t="str">
        <f t="shared" si="2"/>
        <v>2024-07</v>
      </c>
    </row>
    <row r="189" spans="1:7" x14ac:dyDescent="0.3">
      <c r="A189" s="3">
        <v>187</v>
      </c>
      <c r="B189" s="4">
        <v>45481</v>
      </c>
      <c r="C189" s="5">
        <v>0</v>
      </c>
      <c r="D189" s="5">
        <v>1624.83</v>
      </c>
      <c r="E189" s="5">
        <v>999.93</v>
      </c>
      <c r="F189" s="3" t="str">
        <f>IF(A189&lt;=[1]Assumptions!$B$4,"Commissioning",IF(A189&lt;=[1]Assumptions!$B$5,"Handover","Recommissioning"))</f>
        <v>Handover</v>
      </c>
      <c r="G189" s="6" t="str">
        <f t="shared" si="2"/>
        <v>2024-07</v>
      </c>
    </row>
    <row r="190" spans="1:7" x14ac:dyDescent="0.3">
      <c r="A190" s="3">
        <v>188</v>
      </c>
      <c r="B190" s="4">
        <v>45482</v>
      </c>
      <c r="C190" s="5">
        <v>0</v>
      </c>
      <c r="D190" s="5">
        <v>1555.48</v>
      </c>
      <c r="E190" s="5">
        <v>975.16</v>
      </c>
      <c r="F190" s="3" t="str">
        <f>IF(A190&lt;=[1]Assumptions!$B$4,"Commissioning",IF(A190&lt;=[1]Assumptions!$B$5,"Handover","Recommissioning"))</f>
        <v>Handover</v>
      </c>
      <c r="G190" s="6" t="str">
        <f t="shared" si="2"/>
        <v>2024-07</v>
      </c>
    </row>
    <row r="191" spans="1:7" x14ac:dyDescent="0.3">
      <c r="A191" s="3">
        <v>189</v>
      </c>
      <c r="B191" s="4">
        <v>45483</v>
      </c>
      <c r="C191" s="5">
        <v>19.190000000000001</v>
      </c>
      <c r="D191" s="5">
        <v>1562.22</v>
      </c>
      <c r="E191" s="5">
        <v>1005.44</v>
      </c>
      <c r="F191" s="3" t="str">
        <f>IF(A191&lt;=[1]Assumptions!$B$4,"Commissioning",IF(A191&lt;=[1]Assumptions!$B$5,"Handover","Recommissioning"))</f>
        <v>Handover</v>
      </c>
      <c r="G191" s="6" t="str">
        <f t="shared" si="2"/>
        <v>2024-07</v>
      </c>
    </row>
    <row r="192" spans="1:7" x14ac:dyDescent="0.3">
      <c r="A192" s="3">
        <v>190</v>
      </c>
      <c r="B192" s="4">
        <v>45484</v>
      </c>
      <c r="C192" s="5">
        <v>22.45</v>
      </c>
      <c r="D192" s="5">
        <v>1637.99</v>
      </c>
      <c r="E192" s="5">
        <v>1013.8</v>
      </c>
      <c r="F192" s="3" t="str">
        <f>IF(A192&lt;=[1]Assumptions!$B$4,"Commissioning",IF(A192&lt;=[1]Assumptions!$B$5,"Handover","Recommissioning"))</f>
        <v>Handover</v>
      </c>
      <c r="G192" s="6" t="str">
        <f t="shared" si="2"/>
        <v>2024-07</v>
      </c>
    </row>
    <row r="193" spans="1:7" x14ac:dyDescent="0.3">
      <c r="A193" s="3">
        <v>191</v>
      </c>
      <c r="B193" s="4">
        <v>45485</v>
      </c>
      <c r="C193" s="5">
        <v>22.67</v>
      </c>
      <c r="D193" s="5">
        <v>1557.35</v>
      </c>
      <c r="E193" s="5">
        <v>958.99</v>
      </c>
      <c r="F193" s="3" t="str">
        <f>IF(A193&lt;=[1]Assumptions!$B$4,"Commissioning",IF(A193&lt;=[1]Assumptions!$B$5,"Handover","Recommissioning"))</f>
        <v>Handover</v>
      </c>
      <c r="G193" s="6" t="str">
        <f t="shared" si="2"/>
        <v>2024-07</v>
      </c>
    </row>
    <row r="194" spans="1:7" x14ac:dyDescent="0.3">
      <c r="A194" s="3">
        <v>192</v>
      </c>
      <c r="B194" s="4">
        <v>45486</v>
      </c>
      <c r="C194" s="5">
        <v>0</v>
      </c>
      <c r="D194" s="5">
        <v>1581.28</v>
      </c>
      <c r="E194" s="5">
        <v>970.3</v>
      </c>
      <c r="F194" s="3" t="str">
        <f>IF(A194&lt;=[1]Assumptions!$B$4,"Commissioning",IF(A194&lt;=[1]Assumptions!$B$5,"Handover","Recommissioning"))</f>
        <v>Handover</v>
      </c>
      <c r="G194" s="6" t="str">
        <f t="shared" si="2"/>
        <v>2024-07</v>
      </c>
    </row>
    <row r="195" spans="1:7" x14ac:dyDescent="0.3">
      <c r="A195" s="3">
        <v>193</v>
      </c>
      <c r="B195" s="4">
        <v>45487</v>
      </c>
      <c r="C195" s="5">
        <v>2.0099999999999998</v>
      </c>
      <c r="D195" s="5">
        <v>1647.71</v>
      </c>
      <c r="E195" s="5">
        <v>997.99</v>
      </c>
      <c r="F195" s="3" t="str">
        <f>IF(A195&lt;=[1]Assumptions!$B$4,"Commissioning",IF(A195&lt;=[1]Assumptions!$B$5,"Handover","Recommissioning"))</f>
        <v>Handover</v>
      </c>
      <c r="G195" s="6" t="str">
        <f t="shared" ref="G195:G258" si="3">YEAR(B195)&amp;"-"&amp;TEXT(MONTH(B195),"00")</f>
        <v>2024-07</v>
      </c>
    </row>
    <row r="196" spans="1:7" x14ac:dyDescent="0.3">
      <c r="A196" s="3">
        <v>194</v>
      </c>
      <c r="B196" s="4">
        <v>45488</v>
      </c>
      <c r="C196" s="5">
        <v>13.99</v>
      </c>
      <c r="D196" s="5">
        <v>1682.81</v>
      </c>
      <c r="E196" s="5">
        <v>986.01</v>
      </c>
      <c r="F196" s="3" t="str">
        <f>IF(A196&lt;=[1]Assumptions!$B$4,"Commissioning",IF(A196&lt;=[1]Assumptions!$B$5,"Handover","Recommissioning"))</f>
        <v>Handover</v>
      </c>
      <c r="G196" s="6" t="str">
        <f t="shared" si="3"/>
        <v>2024-07</v>
      </c>
    </row>
    <row r="197" spans="1:7" x14ac:dyDescent="0.3">
      <c r="A197" s="3">
        <v>195</v>
      </c>
      <c r="B197" s="4">
        <v>45489</v>
      </c>
      <c r="C197" s="5">
        <v>32.75</v>
      </c>
      <c r="D197" s="5">
        <v>1593.84</v>
      </c>
      <c r="E197" s="5">
        <v>967.25</v>
      </c>
      <c r="F197" s="3" t="str">
        <f>IF(A197&lt;=[1]Assumptions!$B$4,"Commissioning",IF(A197&lt;=[1]Assumptions!$B$5,"Handover","Recommissioning"))</f>
        <v>Handover</v>
      </c>
      <c r="G197" s="6" t="str">
        <f t="shared" si="3"/>
        <v>2024-07</v>
      </c>
    </row>
    <row r="198" spans="1:7" x14ac:dyDescent="0.3">
      <c r="A198" s="3">
        <v>196</v>
      </c>
      <c r="B198" s="4">
        <v>45490</v>
      </c>
      <c r="C198" s="5">
        <v>0</v>
      </c>
      <c r="D198" s="5">
        <v>1555.53</v>
      </c>
      <c r="E198" s="5">
        <v>1005.9</v>
      </c>
      <c r="F198" s="3" t="str">
        <f>IF(A198&lt;=[1]Assumptions!$B$4,"Commissioning",IF(A198&lt;=[1]Assumptions!$B$5,"Handover","Recommissioning"))</f>
        <v>Handover</v>
      </c>
      <c r="G198" s="6" t="str">
        <f t="shared" si="3"/>
        <v>2024-07</v>
      </c>
    </row>
    <row r="199" spans="1:7" x14ac:dyDescent="0.3">
      <c r="A199" s="3">
        <v>197</v>
      </c>
      <c r="B199" s="4">
        <v>45491</v>
      </c>
      <c r="C199" s="5">
        <v>23.6</v>
      </c>
      <c r="D199" s="5">
        <v>1555.06</v>
      </c>
      <c r="E199" s="5">
        <v>976.4</v>
      </c>
      <c r="F199" s="3" t="str">
        <f>IF(A199&lt;=[1]Assumptions!$B$4,"Commissioning",IF(A199&lt;=[1]Assumptions!$B$5,"Handover","Recommissioning"))</f>
        <v>Handover</v>
      </c>
      <c r="G199" s="6" t="str">
        <f t="shared" si="3"/>
        <v>2024-07</v>
      </c>
    </row>
    <row r="200" spans="1:7" x14ac:dyDescent="0.3">
      <c r="A200" s="3">
        <v>198</v>
      </c>
      <c r="B200" s="4">
        <v>45492</v>
      </c>
      <c r="C200" s="5">
        <v>42.77</v>
      </c>
      <c r="D200" s="5">
        <v>1704.21</v>
      </c>
      <c r="E200" s="5">
        <v>957.23</v>
      </c>
      <c r="F200" s="3" t="str">
        <f>IF(A200&lt;=[1]Assumptions!$B$4,"Commissioning",IF(A200&lt;=[1]Assumptions!$B$5,"Handover","Recommissioning"))</f>
        <v>Handover</v>
      </c>
      <c r="G200" s="6" t="str">
        <f t="shared" si="3"/>
        <v>2024-07</v>
      </c>
    </row>
    <row r="201" spans="1:7" x14ac:dyDescent="0.3">
      <c r="A201" s="3">
        <v>199</v>
      </c>
      <c r="B201" s="4">
        <v>45493</v>
      </c>
      <c r="C201" s="5">
        <v>0</v>
      </c>
      <c r="D201" s="5">
        <v>1662.87</v>
      </c>
      <c r="E201" s="5">
        <v>987.03</v>
      </c>
      <c r="F201" s="3" t="str">
        <f>IF(A201&lt;=[1]Assumptions!$B$4,"Commissioning",IF(A201&lt;=[1]Assumptions!$B$5,"Handover","Recommissioning"))</f>
        <v>Handover</v>
      </c>
      <c r="G201" s="6" t="str">
        <f t="shared" si="3"/>
        <v>2024-07</v>
      </c>
    </row>
    <row r="202" spans="1:7" x14ac:dyDescent="0.3">
      <c r="A202" s="3">
        <v>200</v>
      </c>
      <c r="B202" s="4">
        <v>45494</v>
      </c>
      <c r="C202" s="5">
        <v>0</v>
      </c>
      <c r="D202" s="5">
        <v>1575.42</v>
      </c>
      <c r="E202" s="5">
        <v>959.29</v>
      </c>
      <c r="F202" s="3" t="str">
        <f>IF(A202&lt;=[1]Assumptions!$B$4,"Commissioning",IF(A202&lt;=[1]Assumptions!$B$5,"Handover","Recommissioning"))</f>
        <v>Handover</v>
      </c>
      <c r="G202" s="6" t="str">
        <f t="shared" si="3"/>
        <v>2024-07</v>
      </c>
    </row>
    <row r="203" spans="1:7" x14ac:dyDescent="0.3">
      <c r="A203" s="3">
        <v>201</v>
      </c>
      <c r="B203" s="4">
        <v>45495</v>
      </c>
      <c r="C203" s="5">
        <v>0</v>
      </c>
      <c r="D203" s="5">
        <v>1690.03</v>
      </c>
      <c r="E203" s="5">
        <v>967.24</v>
      </c>
      <c r="F203" s="3" t="str">
        <f>IF(A203&lt;=[1]Assumptions!$B$4,"Commissioning",IF(A203&lt;=[1]Assumptions!$B$5,"Handover","Recommissioning"))</f>
        <v>Handover</v>
      </c>
      <c r="G203" s="6" t="str">
        <f t="shared" si="3"/>
        <v>2024-07</v>
      </c>
    </row>
    <row r="204" spans="1:7" x14ac:dyDescent="0.3">
      <c r="A204" s="3">
        <v>202</v>
      </c>
      <c r="B204" s="4">
        <v>45496</v>
      </c>
      <c r="C204" s="5">
        <v>0</v>
      </c>
      <c r="D204" s="5">
        <v>1582.86</v>
      </c>
      <c r="E204" s="5">
        <v>992.62</v>
      </c>
      <c r="F204" s="3" t="str">
        <f>IF(A204&lt;=[1]Assumptions!$B$4,"Commissioning",IF(A204&lt;=[1]Assumptions!$B$5,"Handover","Recommissioning"))</f>
        <v>Handover</v>
      </c>
      <c r="G204" s="6" t="str">
        <f t="shared" si="3"/>
        <v>2024-07</v>
      </c>
    </row>
    <row r="205" spans="1:7" x14ac:dyDescent="0.3">
      <c r="A205" s="3">
        <v>203</v>
      </c>
      <c r="B205" s="4">
        <v>45497</v>
      </c>
      <c r="C205" s="5">
        <v>0</v>
      </c>
      <c r="D205" s="5">
        <v>1603.06</v>
      </c>
      <c r="E205" s="5">
        <v>980.61</v>
      </c>
      <c r="F205" s="3" t="str">
        <f>IF(A205&lt;=[1]Assumptions!$B$4,"Commissioning",IF(A205&lt;=[1]Assumptions!$B$5,"Handover","Recommissioning"))</f>
        <v>Handover</v>
      </c>
      <c r="G205" s="6" t="str">
        <f t="shared" si="3"/>
        <v>2024-07</v>
      </c>
    </row>
    <row r="206" spans="1:7" x14ac:dyDescent="0.3">
      <c r="A206" s="3">
        <v>204</v>
      </c>
      <c r="B206" s="4">
        <v>45498</v>
      </c>
      <c r="C206" s="5">
        <v>0</v>
      </c>
      <c r="D206" s="5">
        <v>1661.25</v>
      </c>
      <c r="E206" s="5">
        <v>955.32</v>
      </c>
      <c r="F206" s="3" t="str">
        <f>IF(A206&lt;=[1]Assumptions!$B$4,"Commissioning",IF(A206&lt;=[1]Assumptions!$B$5,"Handover","Recommissioning"))</f>
        <v>Handover</v>
      </c>
      <c r="G206" s="6" t="str">
        <f t="shared" si="3"/>
        <v>2024-07</v>
      </c>
    </row>
    <row r="207" spans="1:7" x14ac:dyDescent="0.3">
      <c r="A207" s="3">
        <v>205</v>
      </c>
      <c r="B207" s="4">
        <v>45499</v>
      </c>
      <c r="C207" s="5">
        <v>0</v>
      </c>
      <c r="D207" s="5">
        <v>1681.89</v>
      </c>
      <c r="E207" s="5">
        <v>1013.08</v>
      </c>
      <c r="F207" s="3" t="str">
        <f>IF(A207&lt;=[1]Assumptions!$B$4,"Commissioning",IF(A207&lt;=[1]Assumptions!$B$5,"Handover","Recommissioning"))</f>
        <v>Handover</v>
      </c>
      <c r="G207" s="6" t="str">
        <f t="shared" si="3"/>
        <v>2024-07</v>
      </c>
    </row>
    <row r="208" spans="1:7" x14ac:dyDescent="0.3">
      <c r="A208" s="3">
        <v>206</v>
      </c>
      <c r="B208" s="4">
        <v>45500</v>
      </c>
      <c r="C208" s="5">
        <v>0</v>
      </c>
      <c r="D208" s="5">
        <v>1630.23</v>
      </c>
      <c r="E208" s="5">
        <v>984.24</v>
      </c>
      <c r="F208" s="3" t="str">
        <f>IF(A208&lt;=[1]Assumptions!$B$4,"Commissioning",IF(A208&lt;=[1]Assumptions!$B$5,"Handover","Recommissioning"))</f>
        <v>Handover</v>
      </c>
      <c r="G208" s="6" t="str">
        <f t="shared" si="3"/>
        <v>2024-07</v>
      </c>
    </row>
    <row r="209" spans="1:7" x14ac:dyDescent="0.3">
      <c r="A209" s="3">
        <v>207</v>
      </c>
      <c r="B209" s="4">
        <v>45501</v>
      </c>
      <c r="C209" s="5">
        <v>0</v>
      </c>
      <c r="D209" s="5">
        <v>1672.32</v>
      </c>
      <c r="E209" s="5">
        <v>1002.54</v>
      </c>
      <c r="F209" s="3" t="str">
        <f>IF(A209&lt;=[1]Assumptions!$B$4,"Commissioning",IF(A209&lt;=[1]Assumptions!$B$5,"Handover","Recommissioning"))</f>
        <v>Handover</v>
      </c>
      <c r="G209" s="6" t="str">
        <f t="shared" si="3"/>
        <v>2024-07</v>
      </c>
    </row>
    <row r="210" spans="1:7" x14ac:dyDescent="0.3">
      <c r="A210" s="3">
        <v>208</v>
      </c>
      <c r="B210" s="4">
        <v>45502</v>
      </c>
      <c r="C210" s="5">
        <v>0</v>
      </c>
      <c r="D210" s="5">
        <v>1585.04</v>
      </c>
      <c r="E210" s="5">
        <v>987.27</v>
      </c>
      <c r="F210" s="3" t="str">
        <f>IF(A210&lt;=[1]Assumptions!$B$4,"Commissioning",IF(A210&lt;=[1]Assumptions!$B$5,"Handover","Recommissioning"))</f>
        <v>Handover</v>
      </c>
      <c r="G210" s="6" t="str">
        <f t="shared" si="3"/>
        <v>2024-07</v>
      </c>
    </row>
    <row r="211" spans="1:7" x14ac:dyDescent="0.3">
      <c r="A211" s="3">
        <v>209</v>
      </c>
      <c r="B211" s="4">
        <v>45503</v>
      </c>
      <c r="C211" s="5">
        <v>0</v>
      </c>
      <c r="D211" s="5">
        <v>1708.8</v>
      </c>
      <c r="E211" s="5">
        <v>956.73</v>
      </c>
      <c r="F211" s="3" t="str">
        <f>IF(A211&lt;=[1]Assumptions!$B$4,"Commissioning",IF(A211&lt;=[1]Assumptions!$B$5,"Handover","Recommissioning"))</f>
        <v>Handover</v>
      </c>
      <c r="G211" s="6" t="str">
        <f t="shared" si="3"/>
        <v>2024-07</v>
      </c>
    </row>
    <row r="212" spans="1:7" x14ac:dyDescent="0.3">
      <c r="A212" s="3">
        <v>210</v>
      </c>
      <c r="B212" s="4">
        <v>45504</v>
      </c>
      <c r="C212" s="5">
        <v>0</v>
      </c>
      <c r="D212" s="5">
        <v>1609.95</v>
      </c>
      <c r="E212" s="5">
        <v>991.54</v>
      </c>
      <c r="F212" s="3" t="str">
        <f>IF(A212&lt;=[1]Assumptions!$B$4,"Commissioning",IF(A212&lt;=[1]Assumptions!$B$5,"Handover","Recommissioning"))</f>
        <v>Handover</v>
      </c>
      <c r="G212" s="6" t="str">
        <f t="shared" si="3"/>
        <v>2024-07</v>
      </c>
    </row>
    <row r="213" spans="1:7" x14ac:dyDescent="0.3">
      <c r="A213" s="3">
        <v>211</v>
      </c>
      <c r="B213" s="4">
        <v>45505</v>
      </c>
      <c r="C213" s="5">
        <v>0</v>
      </c>
      <c r="D213" s="5">
        <v>1683.16</v>
      </c>
      <c r="E213" s="5">
        <v>985.01</v>
      </c>
      <c r="F213" s="3" t="str">
        <f>IF(A213&lt;=[1]Assumptions!$B$4,"Commissioning",IF(A213&lt;=[1]Assumptions!$B$5,"Handover","Recommissioning"))</f>
        <v>Handover</v>
      </c>
      <c r="G213" s="6" t="str">
        <f t="shared" si="3"/>
        <v>2024-08</v>
      </c>
    </row>
    <row r="214" spans="1:7" x14ac:dyDescent="0.3">
      <c r="A214" s="3">
        <v>212</v>
      </c>
      <c r="B214" s="4">
        <v>45506</v>
      </c>
      <c r="C214" s="5">
        <v>578.74</v>
      </c>
      <c r="D214" s="5">
        <v>674.12</v>
      </c>
      <c r="E214" s="5">
        <v>421.26</v>
      </c>
      <c r="F214" s="3" t="str">
        <f>IF(A214&lt;=[1]Assumptions!$B$4,"Commissioning",IF(A214&lt;=[1]Assumptions!$B$5,"Handover","Recommissioning"))</f>
        <v>Handover</v>
      </c>
      <c r="G214" s="6" t="str">
        <f t="shared" si="3"/>
        <v>2024-08</v>
      </c>
    </row>
    <row r="215" spans="1:7" x14ac:dyDescent="0.3">
      <c r="A215" s="3">
        <v>213</v>
      </c>
      <c r="B215" s="4">
        <v>45507</v>
      </c>
      <c r="C215" s="5">
        <v>943.25</v>
      </c>
      <c r="D215" s="5">
        <v>0</v>
      </c>
      <c r="E215" s="5">
        <v>56.75</v>
      </c>
      <c r="F215" s="3" t="str">
        <f>IF(A215&lt;=[1]Assumptions!$B$4,"Commissioning",IF(A215&lt;=[1]Assumptions!$B$5,"Handover","Recommissioning"))</f>
        <v>Handover</v>
      </c>
      <c r="G215" s="6" t="str">
        <f t="shared" si="3"/>
        <v>2024-08</v>
      </c>
    </row>
    <row r="216" spans="1:7" x14ac:dyDescent="0.3">
      <c r="A216" s="3">
        <v>214</v>
      </c>
      <c r="B216" s="4">
        <v>45508</v>
      </c>
      <c r="C216" s="5">
        <v>1252.6500000000001</v>
      </c>
      <c r="D216" s="5">
        <v>0</v>
      </c>
      <c r="E216" s="5">
        <v>0</v>
      </c>
      <c r="F216" s="3" t="str">
        <f>IF(A216&lt;=[1]Assumptions!$B$4,"Commissioning",IF(A216&lt;=[1]Assumptions!$B$5,"Handover","Recommissioning"))</f>
        <v>Handover</v>
      </c>
      <c r="G216" s="6" t="str">
        <f t="shared" si="3"/>
        <v>2024-08</v>
      </c>
    </row>
    <row r="217" spans="1:7" x14ac:dyDescent="0.3">
      <c r="A217" s="3">
        <v>215</v>
      </c>
      <c r="B217" s="4">
        <v>45509</v>
      </c>
      <c r="C217" s="5">
        <v>1177.56</v>
      </c>
      <c r="D217" s="5">
        <v>0</v>
      </c>
      <c r="E217" s="5">
        <v>0</v>
      </c>
      <c r="F217" s="3" t="str">
        <f>IF(A217&lt;=[1]Assumptions!$B$4,"Commissioning",IF(A217&lt;=[1]Assumptions!$B$5,"Handover","Recommissioning"))</f>
        <v>Handover</v>
      </c>
      <c r="G217" s="6" t="str">
        <f t="shared" si="3"/>
        <v>2024-08</v>
      </c>
    </row>
    <row r="218" spans="1:7" x14ac:dyDescent="0.3">
      <c r="A218" s="3">
        <v>216</v>
      </c>
      <c r="B218" s="4">
        <v>45510</v>
      </c>
      <c r="C218" s="5">
        <v>851.23</v>
      </c>
      <c r="D218" s="5">
        <v>0</v>
      </c>
      <c r="E218" s="5">
        <v>0</v>
      </c>
      <c r="F218" s="3" t="str">
        <f>IF(A218&lt;=[1]Assumptions!$B$4,"Commissioning",IF(A218&lt;=[1]Assumptions!$B$5,"Handover","Recommissioning"))</f>
        <v>Handover</v>
      </c>
      <c r="G218" s="6" t="str">
        <f t="shared" si="3"/>
        <v>2024-08</v>
      </c>
    </row>
    <row r="219" spans="1:7" x14ac:dyDescent="0.3">
      <c r="A219" s="3">
        <v>217</v>
      </c>
      <c r="B219" s="4">
        <v>45511</v>
      </c>
      <c r="C219" s="5">
        <v>1106.75</v>
      </c>
      <c r="D219" s="5">
        <v>0</v>
      </c>
      <c r="E219" s="5">
        <v>0</v>
      </c>
      <c r="F219" s="3" t="str">
        <f>IF(A219&lt;=[1]Assumptions!$B$4,"Commissioning",IF(A219&lt;=[1]Assumptions!$B$5,"Handover","Recommissioning"))</f>
        <v>Handover</v>
      </c>
      <c r="G219" s="6" t="str">
        <f t="shared" si="3"/>
        <v>2024-08</v>
      </c>
    </row>
    <row r="220" spans="1:7" x14ac:dyDescent="0.3">
      <c r="A220" s="3">
        <v>218</v>
      </c>
      <c r="B220" s="4">
        <v>45512</v>
      </c>
      <c r="C220" s="5">
        <v>1105.7</v>
      </c>
      <c r="D220" s="5">
        <v>0</v>
      </c>
      <c r="E220" s="5">
        <v>0</v>
      </c>
      <c r="F220" s="3" t="str">
        <f>IF(A220&lt;=[1]Assumptions!$B$4,"Commissioning",IF(A220&lt;=[1]Assumptions!$B$5,"Handover","Recommissioning"))</f>
        <v>Handover</v>
      </c>
      <c r="G220" s="6" t="str">
        <f t="shared" si="3"/>
        <v>2024-08</v>
      </c>
    </row>
    <row r="221" spans="1:7" x14ac:dyDescent="0.3">
      <c r="A221" s="3">
        <v>219</v>
      </c>
      <c r="B221" s="4">
        <v>45513</v>
      </c>
      <c r="C221" s="5">
        <v>1096.72</v>
      </c>
      <c r="D221" s="5">
        <v>0</v>
      </c>
      <c r="E221" s="5">
        <v>0</v>
      </c>
      <c r="F221" s="3" t="str">
        <f>IF(A221&lt;=[1]Assumptions!$B$4,"Commissioning",IF(A221&lt;=[1]Assumptions!$B$5,"Handover","Recommissioning"))</f>
        <v>Handover</v>
      </c>
      <c r="G221" s="6" t="str">
        <f t="shared" si="3"/>
        <v>2024-08</v>
      </c>
    </row>
    <row r="222" spans="1:7" x14ac:dyDescent="0.3">
      <c r="A222" s="3">
        <v>220</v>
      </c>
      <c r="B222" s="4">
        <v>45514</v>
      </c>
      <c r="C222" s="5">
        <v>996.57</v>
      </c>
      <c r="D222" s="5">
        <v>0</v>
      </c>
      <c r="E222" s="5">
        <v>3.42999999999995</v>
      </c>
      <c r="F222" s="3" t="str">
        <f>IF(A222&lt;=[1]Assumptions!$B$4,"Commissioning",IF(A222&lt;=[1]Assumptions!$B$5,"Handover","Recommissioning"))</f>
        <v>Handover</v>
      </c>
      <c r="G222" s="6" t="str">
        <f t="shared" si="3"/>
        <v>2024-08</v>
      </c>
    </row>
    <row r="223" spans="1:7" x14ac:dyDescent="0.3">
      <c r="A223" s="3">
        <v>221</v>
      </c>
      <c r="B223" s="4">
        <v>45515</v>
      </c>
      <c r="C223" s="5">
        <v>803.75</v>
      </c>
      <c r="D223" s="5">
        <v>451.23</v>
      </c>
      <c r="E223" s="5">
        <v>196.25</v>
      </c>
      <c r="F223" s="3" t="str">
        <f>IF(A223&lt;=[1]Assumptions!$B$4,"Commissioning",IF(A223&lt;=[1]Assumptions!$B$5,"Handover","Recommissioning"))</f>
        <v>Handover</v>
      </c>
      <c r="G223" s="6" t="str">
        <f t="shared" si="3"/>
        <v>2024-08</v>
      </c>
    </row>
    <row r="224" spans="1:7" x14ac:dyDescent="0.3">
      <c r="A224" s="3">
        <v>222</v>
      </c>
      <c r="B224" s="4">
        <v>45516</v>
      </c>
      <c r="C224" s="5">
        <v>310.98</v>
      </c>
      <c r="D224" s="5">
        <v>892.12</v>
      </c>
      <c r="E224" s="5">
        <v>689.02</v>
      </c>
      <c r="F224" s="3" t="str">
        <f>IF(A224&lt;=[1]Assumptions!$B$4,"Commissioning",IF(A224&lt;=[1]Assumptions!$B$5,"Handover","Recommissioning"))</f>
        <v>Handover</v>
      </c>
      <c r="G224" s="6" t="str">
        <f t="shared" si="3"/>
        <v>2024-08</v>
      </c>
    </row>
    <row r="225" spans="1:7" x14ac:dyDescent="0.3">
      <c r="A225" s="3">
        <v>223</v>
      </c>
      <c r="B225" s="4">
        <v>45517</v>
      </c>
      <c r="C225" s="5">
        <v>0</v>
      </c>
      <c r="D225" s="5">
        <v>1641.5</v>
      </c>
      <c r="E225" s="5">
        <v>1006.88</v>
      </c>
      <c r="F225" s="3" t="str">
        <f>IF(A225&lt;=[1]Assumptions!$B$4,"Commissioning",IF(A225&lt;=[1]Assumptions!$B$5,"Handover","Recommissioning"))</f>
        <v>Handover</v>
      </c>
      <c r="G225" s="6" t="str">
        <f t="shared" si="3"/>
        <v>2024-08</v>
      </c>
    </row>
    <row r="226" spans="1:7" x14ac:dyDescent="0.3">
      <c r="A226" s="3">
        <v>224</v>
      </c>
      <c r="B226" s="4">
        <v>45518</v>
      </c>
      <c r="C226" s="5">
        <v>0</v>
      </c>
      <c r="D226" s="5">
        <v>1605.13</v>
      </c>
      <c r="E226" s="5">
        <v>975.91</v>
      </c>
      <c r="F226" s="3" t="str">
        <f>IF(A226&lt;=[1]Assumptions!$B$4,"Commissioning",IF(A226&lt;=[1]Assumptions!$B$5,"Handover","Recommissioning"))</f>
        <v>Handover</v>
      </c>
      <c r="G226" s="6" t="str">
        <f t="shared" si="3"/>
        <v>2024-08</v>
      </c>
    </row>
    <row r="227" spans="1:7" x14ac:dyDescent="0.3">
      <c r="A227" s="3">
        <v>225</v>
      </c>
      <c r="B227" s="4">
        <v>45519</v>
      </c>
      <c r="C227" s="5">
        <v>0</v>
      </c>
      <c r="D227" s="5">
        <v>1657.81</v>
      </c>
      <c r="E227" s="5">
        <v>973.81</v>
      </c>
      <c r="F227" s="3" t="str">
        <f>IF(A227&lt;=[1]Assumptions!$B$4,"Commissioning",IF(A227&lt;=[1]Assumptions!$B$5,"Handover","Recommissioning"))</f>
        <v>Handover</v>
      </c>
      <c r="G227" s="6" t="str">
        <f t="shared" si="3"/>
        <v>2024-08</v>
      </c>
    </row>
    <row r="228" spans="1:7" x14ac:dyDescent="0.3">
      <c r="A228" s="3">
        <v>226</v>
      </c>
      <c r="B228" s="4">
        <v>45520</v>
      </c>
      <c r="C228" s="5">
        <v>0</v>
      </c>
      <c r="D228" s="5">
        <v>1652.8</v>
      </c>
      <c r="E228" s="5">
        <v>954.04</v>
      </c>
      <c r="F228" s="3" t="str">
        <f>IF(A228&lt;=[1]Assumptions!$B$4,"Commissioning",IF(A228&lt;=[1]Assumptions!$B$5,"Handover","Recommissioning"))</f>
        <v>Handover</v>
      </c>
      <c r="G228" s="6" t="str">
        <f t="shared" si="3"/>
        <v>2024-08</v>
      </c>
    </row>
    <row r="229" spans="1:7" x14ac:dyDescent="0.3">
      <c r="A229" s="3">
        <v>227</v>
      </c>
      <c r="B229" s="4">
        <v>45521</v>
      </c>
      <c r="C229" s="5">
        <v>0</v>
      </c>
      <c r="D229" s="5">
        <v>1588.46</v>
      </c>
      <c r="E229" s="5">
        <v>970.13</v>
      </c>
      <c r="F229" s="3" t="str">
        <f>IF(A229&lt;=[1]Assumptions!$B$4,"Commissioning",IF(A229&lt;=[1]Assumptions!$B$5,"Handover","Recommissioning"))</f>
        <v>Handover</v>
      </c>
      <c r="G229" s="6" t="str">
        <f t="shared" si="3"/>
        <v>2024-08</v>
      </c>
    </row>
    <row r="230" spans="1:7" x14ac:dyDescent="0.3">
      <c r="A230" s="3">
        <v>228</v>
      </c>
      <c r="B230" s="4">
        <v>45522</v>
      </c>
      <c r="C230" s="5">
        <v>0</v>
      </c>
      <c r="D230" s="5">
        <v>1644.36</v>
      </c>
      <c r="E230" s="5">
        <v>954.12</v>
      </c>
      <c r="F230" s="3" t="str">
        <f>IF(A230&lt;=[1]Assumptions!$B$4,"Commissioning",IF(A230&lt;=[1]Assumptions!$B$5,"Handover","Recommissioning"))</f>
        <v>Handover</v>
      </c>
      <c r="G230" s="6" t="str">
        <f t="shared" si="3"/>
        <v>2024-08</v>
      </c>
    </row>
    <row r="231" spans="1:7" x14ac:dyDescent="0.3">
      <c r="A231" s="3">
        <v>229</v>
      </c>
      <c r="B231" s="4">
        <v>45523</v>
      </c>
      <c r="C231" s="5">
        <v>0</v>
      </c>
      <c r="D231" s="5">
        <v>1652.44</v>
      </c>
      <c r="E231" s="5">
        <v>994.86</v>
      </c>
      <c r="F231" s="3" t="str">
        <f>IF(A231&lt;=[1]Assumptions!$B$4,"Commissioning",IF(A231&lt;=[1]Assumptions!$B$5,"Handover","Recommissioning"))</f>
        <v>Handover</v>
      </c>
      <c r="G231" s="6" t="str">
        <f t="shared" si="3"/>
        <v>2024-08</v>
      </c>
    </row>
    <row r="232" spans="1:7" x14ac:dyDescent="0.3">
      <c r="A232" s="3">
        <v>230</v>
      </c>
      <c r="B232" s="4">
        <v>45524</v>
      </c>
      <c r="C232" s="5">
        <v>0</v>
      </c>
      <c r="D232" s="5">
        <v>1577.54</v>
      </c>
      <c r="E232" s="5">
        <v>985.19</v>
      </c>
      <c r="F232" s="3" t="str">
        <f>IF(A232&lt;=[1]Assumptions!$B$4,"Commissioning",IF(A232&lt;=[1]Assumptions!$B$5,"Handover","Recommissioning"))</f>
        <v>Handover</v>
      </c>
      <c r="G232" s="6" t="str">
        <f t="shared" si="3"/>
        <v>2024-08</v>
      </c>
    </row>
    <row r="233" spans="1:7" x14ac:dyDescent="0.3">
      <c r="A233" s="3">
        <v>231</v>
      </c>
      <c r="B233" s="4">
        <v>45525</v>
      </c>
      <c r="C233" s="5">
        <v>0</v>
      </c>
      <c r="D233" s="5">
        <v>1665.44</v>
      </c>
      <c r="E233" s="5">
        <v>963.76</v>
      </c>
      <c r="F233" s="3" t="str">
        <f>IF(A233&lt;=[1]Assumptions!$B$4,"Commissioning",IF(A233&lt;=[1]Assumptions!$B$5,"Handover","Recommissioning"))</f>
        <v>Handover</v>
      </c>
      <c r="G233" s="6" t="str">
        <f t="shared" si="3"/>
        <v>2024-08</v>
      </c>
    </row>
    <row r="234" spans="1:7" x14ac:dyDescent="0.3">
      <c r="A234" s="3">
        <v>232</v>
      </c>
      <c r="B234" s="4">
        <v>45526</v>
      </c>
      <c r="C234" s="5">
        <v>6.6</v>
      </c>
      <c r="D234" s="5">
        <v>1676.4</v>
      </c>
      <c r="E234" s="5">
        <v>993.4</v>
      </c>
      <c r="F234" s="3" t="str">
        <f>IF(A234&lt;=[1]Assumptions!$B$4,"Commissioning",IF(A234&lt;=[1]Assumptions!$B$5,"Handover","Recommissioning"))</f>
        <v>Handover</v>
      </c>
      <c r="G234" s="6" t="str">
        <f t="shared" si="3"/>
        <v>2024-08</v>
      </c>
    </row>
    <row r="235" spans="1:7" x14ac:dyDescent="0.3">
      <c r="A235" s="3">
        <v>233</v>
      </c>
      <c r="B235" s="4">
        <v>45527</v>
      </c>
      <c r="C235" s="5">
        <v>83.5</v>
      </c>
      <c r="D235" s="5">
        <v>1698.21</v>
      </c>
      <c r="E235" s="5">
        <v>916.5</v>
      </c>
      <c r="F235" s="3" t="str">
        <f>IF(A235&lt;=[1]Assumptions!$B$4,"Commissioning",IF(A235&lt;=[1]Assumptions!$B$5,"Handover","Recommissioning"))</f>
        <v>Handover</v>
      </c>
      <c r="G235" s="6" t="str">
        <f t="shared" si="3"/>
        <v>2024-08</v>
      </c>
    </row>
    <row r="236" spans="1:7" x14ac:dyDescent="0.3">
      <c r="A236" s="3">
        <v>234</v>
      </c>
      <c r="B236" s="4">
        <v>45528</v>
      </c>
      <c r="C236" s="5">
        <v>909.22</v>
      </c>
      <c r="D236" s="5">
        <v>471.07</v>
      </c>
      <c r="E236" s="5">
        <v>90.78</v>
      </c>
      <c r="F236" s="3" t="str">
        <f>IF(A236&lt;=[1]Assumptions!$B$4,"Commissioning",IF(A236&lt;=[1]Assumptions!$B$5,"Handover","Recommissioning"))</f>
        <v>Handover</v>
      </c>
      <c r="G236" s="6" t="str">
        <f t="shared" si="3"/>
        <v>2024-08</v>
      </c>
    </row>
    <row r="237" spans="1:7" x14ac:dyDescent="0.3">
      <c r="A237" s="3">
        <v>235</v>
      </c>
      <c r="B237" s="4">
        <v>45529</v>
      </c>
      <c r="C237" s="5">
        <v>1097.32</v>
      </c>
      <c r="D237" s="5">
        <v>111.27</v>
      </c>
      <c r="E237" s="5">
        <v>0</v>
      </c>
      <c r="F237" s="3" t="str">
        <f>IF(A237&lt;=[1]Assumptions!$B$4,"Commissioning",IF(A237&lt;=[1]Assumptions!$B$5,"Handover","Recommissioning"))</f>
        <v>Handover</v>
      </c>
      <c r="G237" s="6" t="str">
        <f t="shared" si="3"/>
        <v>2024-08</v>
      </c>
    </row>
    <row r="238" spans="1:7" x14ac:dyDescent="0.3">
      <c r="A238" s="3">
        <v>236</v>
      </c>
      <c r="B238" s="4">
        <v>45530</v>
      </c>
      <c r="C238" s="5">
        <v>544.30999999999995</v>
      </c>
      <c r="D238" s="5">
        <v>771.77</v>
      </c>
      <c r="E238" s="5">
        <v>455.69</v>
      </c>
      <c r="F238" s="3" t="str">
        <f>IF(A238&lt;=[1]Assumptions!$B$4,"Commissioning",IF(A238&lt;=[1]Assumptions!$B$5,"Handover","Recommissioning"))</f>
        <v>Handover</v>
      </c>
      <c r="G238" s="6" t="str">
        <f t="shared" si="3"/>
        <v>2024-08</v>
      </c>
    </row>
    <row r="239" spans="1:7" x14ac:dyDescent="0.3">
      <c r="A239" s="3">
        <v>237</v>
      </c>
      <c r="B239" s="4">
        <v>45531</v>
      </c>
      <c r="C239" s="5">
        <v>143.06</v>
      </c>
      <c r="D239" s="5">
        <v>1312.27</v>
      </c>
      <c r="E239" s="5">
        <v>856.94</v>
      </c>
      <c r="F239" s="3" t="str">
        <f>IF(A239&lt;=[1]Assumptions!$B$4,"Commissioning",IF(A239&lt;=[1]Assumptions!$B$5,"Handover","Recommissioning"))</f>
        <v>Handover</v>
      </c>
      <c r="G239" s="6" t="str">
        <f t="shared" si="3"/>
        <v>2024-08</v>
      </c>
    </row>
    <row r="240" spans="1:7" x14ac:dyDescent="0.3">
      <c r="A240" s="3">
        <v>238</v>
      </c>
      <c r="B240" s="4">
        <v>45532</v>
      </c>
      <c r="C240" s="5">
        <v>0</v>
      </c>
      <c r="D240" s="5">
        <v>1562.6</v>
      </c>
      <c r="E240" s="5">
        <v>1003.85</v>
      </c>
      <c r="F240" s="3" t="str">
        <f>IF(A240&lt;=[1]Assumptions!$B$4,"Commissioning",IF(A240&lt;=[1]Assumptions!$B$5,"Handover","Recommissioning"))</f>
        <v>Handover</v>
      </c>
      <c r="G240" s="6" t="str">
        <f t="shared" si="3"/>
        <v>2024-08</v>
      </c>
    </row>
    <row r="241" spans="1:7" x14ac:dyDescent="0.3">
      <c r="A241" s="3">
        <v>239</v>
      </c>
      <c r="B241" s="4">
        <v>45533</v>
      </c>
      <c r="C241" s="5">
        <v>0</v>
      </c>
      <c r="D241" s="5">
        <v>1644.39</v>
      </c>
      <c r="E241" s="5">
        <v>1002.74</v>
      </c>
      <c r="F241" s="3" t="str">
        <f>IF(A241&lt;=[1]Assumptions!$B$4,"Commissioning",IF(A241&lt;=[1]Assumptions!$B$5,"Handover","Recommissioning"))</f>
        <v>Handover</v>
      </c>
      <c r="G241" s="6" t="str">
        <f t="shared" si="3"/>
        <v>2024-08</v>
      </c>
    </row>
    <row r="242" spans="1:7" x14ac:dyDescent="0.3">
      <c r="A242" s="3">
        <v>240</v>
      </c>
      <c r="B242" s="4">
        <v>45534</v>
      </c>
      <c r="C242" s="5">
        <v>0</v>
      </c>
      <c r="D242" s="5">
        <v>1679.56</v>
      </c>
      <c r="E242" s="5">
        <v>1005.48</v>
      </c>
      <c r="F242" s="3" t="str">
        <f>IF(A242&lt;=[1]Assumptions!$B$4,"Commissioning",IF(A242&lt;=[1]Assumptions!$B$5,"Handover","Recommissioning"))</f>
        <v>Handover</v>
      </c>
      <c r="G242" s="6" t="str">
        <f t="shared" si="3"/>
        <v>2024-08</v>
      </c>
    </row>
    <row r="243" spans="1:7" x14ac:dyDescent="0.3">
      <c r="A243" s="3">
        <v>241</v>
      </c>
      <c r="B243" s="4">
        <v>45535</v>
      </c>
      <c r="C243" s="5">
        <v>0</v>
      </c>
      <c r="D243" s="5">
        <v>1676.4</v>
      </c>
      <c r="E243" s="5">
        <v>1002.94</v>
      </c>
      <c r="F243" s="3" t="str">
        <f>IF(A243&lt;=[1]Assumptions!$B$4,"Commissioning",IF(A243&lt;=[1]Assumptions!$B$5,"Handover","Recommissioning"))</f>
        <v>Handover</v>
      </c>
      <c r="G243" s="6" t="str">
        <f t="shared" si="3"/>
        <v>2024-08</v>
      </c>
    </row>
    <row r="244" spans="1:7" x14ac:dyDescent="0.3">
      <c r="A244" s="3">
        <v>242</v>
      </c>
      <c r="B244" s="4">
        <v>45536</v>
      </c>
      <c r="C244" s="5">
        <v>0</v>
      </c>
      <c r="D244" s="5">
        <v>1649.77</v>
      </c>
      <c r="E244" s="5">
        <v>956.78</v>
      </c>
      <c r="F244" s="3" t="str">
        <f>IF(A244&lt;=[1]Assumptions!$B$4,"Commissioning",IF(A244&lt;=[1]Assumptions!$B$5,"Handover","Recommissioning"))</f>
        <v>Handover</v>
      </c>
      <c r="G244" s="6" t="str">
        <f t="shared" si="3"/>
        <v>2024-09</v>
      </c>
    </row>
    <row r="245" spans="1:7" x14ac:dyDescent="0.3">
      <c r="A245" s="3">
        <v>243</v>
      </c>
      <c r="B245" s="4">
        <v>45537</v>
      </c>
      <c r="C245" s="5">
        <v>0</v>
      </c>
      <c r="D245" s="5">
        <v>1662.86</v>
      </c>
      <c r="E245" s="5">
        <v>1000.63</v>
      </c>
      <c r="F245" s="3" t="str">
        <f>IF(A245&lt;=[1]Assumptions!$B$4,"Commissioning",IF(A245&lt;=[1]Assumptions!$B$5,"Handover","Recommissioning"))</f>
        <v>Handover</v>
      </c>
      <c r="G245" s="6" t="str">
        <f t="shared" si="3"/>
        <v>2024-09</v>
      </c>
    </row>
    <row r="246" spans="1:7" x14ac:dyDescent="0.3">
      <c r="A246" s="3">
        <v>244</v>
      </c>
      <c r="B246" s="4">
        <v>45538</v>
      </c>
      <c r="C246" s="5">
        <v>0</v>
      </c>
      <c r="D246" s="5">
        <v>1605.83</v>
      </c>
      <c r="E246" s="5">
        <v>1009.69</v>
      </c>
      <c r="F246" s="3" t="str">
        <f>IF(A246&lt;=[1]Assumptions!$B$4,"Commissioning",IF(A246&lt;=[1]Assumptions!$B$5,"Handover","Recommissioning"))</f>
        <v>Handover</v>
      </c>
      <c r="G246" s="6" t="str">
        <f t="shared" si="3"/>
        <v>2024-09</v>
      </c>
    </row>
    <row r="247" spans="1:7" x14ac:dyDescent="0.3">
      <c r="A247" s="3">
        <v>245</v>
      </c>
      <c r="B247" s="4">
        <v>45539</v>
      </c>
      <c r="C247" s="5">
        <v>0</v>
      </c>
      <c r="D247" s="5">
        <v>1637.99</v>
      </c>
      <c r="E247" s="5">
        <v>974.99</v>
      </c>
      <c r="F247" s="3" t="str">
        <f>IF(A247&lt;=[1]Assumptions!$B$4,"Commissioning",IF(A247&lt;=[1]Assumptions!$B$5,"Handover","Recommissioning"))</f>
        <v>Handover</v>
      </c>
      <c r="G247" s="6" t="str">
        <f t="shared" si="3"/>
        <v>2024-09</v>
      </c>
    </row>
    <row r="248" spans="1:7" x14ac:dyDescent="0.3">
      <c r="A248" s="3">
        <v>246</v>
      </c>
      <c r="B248" s="4">
        <v>45540</v>
      </c>
      <c r="C248" s="5">
        <v>0</v>
      </c>
      <c r="D248" s="5">
        <v>1638.43</v>
      </c>
      <c r="E248" s="5">
        <v>994.94</v>
      </c>
      <c r="F248" s="3" t="str">
        <f>IF(A248&lt;=[1]Assumptions!$B$4,"Commissioning",IF(A248&lt;=[1]Assumptions!$B$5,"Handover","Recommissioning"))</f>
        <v>Handover</v>
      </c>
      <c r="G248" s="6" t="str">
        <f t="shared" si="3"/>
        <v>2024-09</v>
      </c>
    </row>
    <row r="249" spans="1:7" x14ac:dyDescent="0.3">
      <c r="A249" s="3">
        <v>247</v>
      </c>
      <c r="B249" s="4">
        <v>45541</v>
      </c>
      <c r="C249" s="5">
        <v>0</v>
      </c>
      <c r="D249" s="5">
        <v>1599.24</v>
      </c>
      <c r="E249" s="5">
        <v>967.93</v>
      </c>
      <c r="F249" s="3" t="str">
        <f>IF(A249&lt;=[1]Assumptions!$B$4,"Commissioning",IF(A249&lt;=[1]Assumptions!$B$5,"Handover","Recommissioning"))</f>
        <v>Handover</v>
      </c>
      <c r="G249" s="6" t="str">
        <f t="shared" si="3"/>
        <v>2024-09</v>
      </c>
    </row>
    <row r="250" spans="1:7" x14ac:dyDescent="0.3">
      <c r="A250" s="3">
        <v>248</v>
      </c>
      <c r="B250" s="4">
        <v>45542</v>
      </c>
      <c r="C250" s="5">
        <v>0</v>
      </c>
      <c r="D250" s="5">
        <v>1679.09</v>
      </c>
      <c r="E250" s="5">
        <v>1004.89</v>
      </c>
      <c r="F250" s="3" t="str">
        <f>IF(A250&lt;=[1]Assumptions!$B$4,"Commissioning",IF(A250&lt;=[1]Assumptions!$B$5,"Handover","Recommissioning"))</f>
        <v>Handover</v>
      </c>
      <c r="G250" s="6" t="str">
        <f t="shared" si="3"/>
        <v>2024-09</v>
      </c>
    </row>
    <row r="251" spans="1:7" x14ac:dyDescent="0.3">
      <c r="A251" s="3">
        <v>249</v>
      </c>
      <c r="B251" s="4">
        <v>45543</v>
      </c>
      <c r="C251" s="5">
        <v>0</v>
      </c>
      <c r="D251" s="5">
        <v>1676.49</v>
      </c>
      <c r="E251" s="5">
        <v>957.92</v>
      </c>
      <c r="F251" s="3" t="str">
        <f>IF(A251&lt;=[1]Assumptions!$B$4,"Commissioning",IF(A251&lt;=[1]Assumptions!$B$5,"Handover","Recommissioning"))</f>
        <v>Handover</v>
      </c>
      <c r="G251" s="6" t="str">
        <f t="shared" si="3"/>
        <v>2024-09</v>
      </c>
    </row>
    <row r="252" spans="1:7" x14ac:dyDescent="0.3">
      <c r="A252" s="3">
        <v>250</v>
      </c>
      <c r="B252" s="4">
        <v>45544</v>
      </c>
      <c r="C252" s="5">
        <v>143.5</v>
      </c>
      <c r="D252" s="5">
        <v>1698.21</v>
      </c>
      <c r="E252" s="5">
        <v>1005.9</v>
      </c>
      <c r="F252" s="3" t="str">
        <f>IF(A252&lt;=[1]Assumptions!$B$4,"Commissioning",IF(A252&lt;=[1]Assumptions!$B$5,"Handover","Recommissioning"))</f>
        <v>Handover</v>
      </c>
      <c r="G252" s="6" t="str">
        <f t="shared" si="3"/>
        <v>2024-09</v>
      </c>
    </row>
    <row r="253" spans="1:7" x14ac:dyDescent="0.3">
      <c r="A253" s="3">
        <v>251</v>
      </c>
      <c r="B253" s="4">
        <v>45545</v>
      </c>
      <c r="C253" s="5">
        <v>11.91</v>
      </c>
      <c r="D253" s="5">
        <v>1571.77</v>
      </c>
      <c r="E253" s="5">
        <v>976.86</v>
      </c>
      <c r="F253" s="3" t="str">
        <f>IF(A253&lt;=[1]Assumptions!$B$4,"Commissioning",IF(A253&lt;=[1]Assumptions!$B$5,"Handover","Recommissioning"))</f>
        <v>Handover</v>
      </c>
      <c r="G253" s="6" t="str">
        <f t="shared" si="3"/>
        <v>2024-09</v>
      </c>
    </row>
    <row r="254" spans="1:7" x14ac:dyDescent="0.3">
      <c r="A254" s="3">
        <v>252</v>
      </c>
      <c r="B254" s="4">
        <v>45546</v>
      </c>
      <c r="C254" s="5">
        <v>180.08</v>
      </c>
      <c r="D254" s="5">
        <v>1710.27</v>
      </c>
      <c r="E254" s="5">
        <v>819.92</v>
      </c>
      <c r="F254" s="3" t="str">
        <f>IF(A254&lt;=[1]Assumptions!$B$4,"Commissioning",IF(A254&lt;=[1]Assumptions!$B$5,"Handover","Recommissioning"))</f>
        <v>Handover</v>
      </c>
      <c r="G254" s="6" t="str">
        <f t="shared" si="3"/>
        <v>2024-09</v>
      </c>
    </row>
    <row r="255" spans="1:7" x14ac:dyDescent="0.3">
      <c r="A255" s="3">
        <v>253</v>
      </c>
      <c r="B255" s="4">
        <v>45547</v>
      </c>
      <c r="C255" s="5">
        <v>0</v>
      </c>
      <c r="D255" s="5">
        <v>1594.02</v>
      </c>
      <c r="E255" s="5">
        <v>1004.39</v>
      </c>
      <c r="F255" s="3" t="str">
        <f>IF(A255&lt;=[1]Assumptions!$B$4,"Commissioning",IF(A255&lt;=[1]Assumptions!$B$5,"Handover","Recommissioning"))</f>
        <v>Handover</v>
      </c>
      <c r="G255" s="6" t="str">
        <f t="shared" si="3"/>
        <v>2024-09</v>
      </c>
    </row>
    <row r="256" spans="1:7" x14ac:dyDescent="0.3">
      <c r="A256" s="3">
        <v>254</v>
      </c>
      <c r="B256" s="4">
        <v>45548</v>
      </c>
      <c r="C256" s="5">
        <v>0</v>
      </c>
      <c r="D256" s="5">
        <v>1558.86</v>
      </c>
      <c r="E256" s="5">
        <v>975.16</v>
      </c>
      <c r="F256" s="3" t="str">
        <f>IF(A256&lt;=[1]Assumptions!$B$4,"Commissioning",IF(A256&lt;=[1]Assumptions!$B$5,"Handover","Recommissioning"))</f>
        <v>Handover</v>
      </c>
      <c r="G256" s="6" t="str">
        <f t="shared" si="3"/>
        <v>2024-09</v>
      </c>
    </row>
    <row r="257" spans="1:7" x14ac:dyDescent="0.3">
      <c r="A257" s="3">
        <v>255</v>
      </c>
      <c r="B257" s="4">
        <v>45549</v>
      </c>
      <c r="C257" s="5">
        <v>0</v>
      </c>
      <c r="D257" s="5">
        <v>1619.42</v>
      </c>
      <c r="E257" s="5">
        <v>1008.52</v>
      </c>
      <c r="F257" s="3" t="str">
        <f>IF(A257&lt;=[1]Assumptions!$B$4,"Commissioning",IF(A257&lt;=[1]Assumptions!$B$5,"Handover","Recommissioning"))</f>
        <v>Handover</v>
      </c>
      <c r="G257" s="6" t="str">
        <f t="shared" si="3"/>
        <v>2024-09</v>
      </c>
    </row>
    <row r="258" spans="1:7" x14ac:dyDescent="0.3">
      <c r="A258" s="3">
        <v>256</v>
      </c>
      <c r="B258" s="4">
        <v>45550</v>
      </c>
      <c r="C258" s="5">
        <v>312.45999999999998</v>
      </c>
      <c r="D258" s="5">
        <v>1684.54</v>
      </c>
      <c r="E258" s="5">
        <v>687.54</v>
      </c>
      <c r="F258" s="3" t="str">
        <f>IF(A258&lt;=[1]Assumptions!$B$4,"Commissioning",IF(A258&lt;=[1]Assumptions!$B$5,"Handover","Recommissioning"))</f>
        <v>Handover</v>
      </c>
      <c r="G258" s="6" t="str">
        <f t="shared" si="3"/>
        <v>2024-09</v>
      </c>
    </row>
    <row r="259" spans="1:7" x14ac:dyDescent="0.3">
      <c r="A259" s="3">
        <v>257</v>
      </c>
      <c r="B259" s="4">
        <v>45551</v>
      </c>
      <c r="C259" s="5">
        <v>46.22</v>
      </c>
      <c r="D259" s="5">
        <v>1672.97</v>
      </c>
      <c r="E259" s="5">
        <v>953.78</v>
      </c>
      <c r="F259" s="3" t="str">
        <f>IF(A259&lt;=[1]Assumptions!$B$4,"Commissioning",IF(A259&lt;=[1]Assumptions!$B$5,"Handover","Recommissioning"))</f>
        <v>Handover</v>
      </c>
      <c r="G259" s="6" t="str">
        <f t="shared" ref="G259:G322" si="4">YEAR(B259)&amp;"-"&amp;TEXT(MONTH(B259),"00")</f>
        <v>2024-09</v>
      </c>
    </row>
    <row r="260" spans="1:7" x14ac:dyDescent="0.3">
      <c r="A260" s="3">
        <v>258</v>
      </c>
      <c r="B260" s="4">
        <v>45552</v>
      </c>
      <c r="C260" s="5">
        <v>0</v>
      </c>
      <c r="D260" s="5">
        <v>1670.38</v>
      </c>
      <c r="E260" s="5">
        <v>1001.3</v>
      </c>
      <c r="F260" s="3" t="str">
        <f>IF(A260&lt;=[1]Assumptions!$B$4,"Commissioning",IF(A260&lt;=[1]Assumptions!$B$5,"Handover","Recommissioning"))</f>
        <v>Handover</v>
      </c>
      <c r="G260" s="6" t="str">
        <f t="shared" si="4"/>
        <v>2024-09</v>
      </c>
    </row>
    <row r="261" spans="1:7" x14ac:dyDescent="0.3">
      <c r="A261" s="3">
        <v>259</v>
      </c>
      <c r="B261" s="4">
        <v>45553</v>
      </c>
      <c r="C261" s="5">
        <v>0</v>
      </c>
      <c r="D261" s="5">
        <v>1675.57</v>
      </c>
      <c r="E261" s="5">
        <v>964.36</v>
      </c>
      <c r="F261" s="3" t="str">
        <f>IF(A261&lt;=[1]Assumptions!$B$4,"Commissioning",IF(A261&lt;=[1]Assumptions!$B$5,"Handover","Recommissioning"))</f>
        <v>Handover</v>
      </c>
      <c r="G261" s="6" t="str">
        <f t="shared" si="4"/>
        <v>2024-09</v>
      </c>
    </row>
    <row r="262" spans="1:7" x14ac:dyDescent="0.3">
      <c r="A262" s="3">
        <v>260</v>
      </c>
      <c r="B262" s="4">
        <v>45554</v>
      </c>
      <c r="C262" s="5">
        <v>0</v>
      </c>
      <c r="D262" s="5">
        <v>1595.86</v>
      </c>
      <c r="E262" s="5">
        <v>1002.3</v>
      </c>
      <c r="F262" s="3" t="str">
        <f>IF(A262&lt;=[1]Assumptions!$B$4,"Commissioning",IF(A262&lt;=[1]Assumptions!$B$5,"Handover","Recommissioning"))</f>
        <v>Handover</v>
      </c>
      <c r="G262" s="6" t="str">
        <f t="shared" si="4"/>
        <v>2024-09</v>
      </c>
    </row>
    <row r="263" spans="1:7" x14ac:dyDescent="0.3">
      <c r="A263" s="3">
        <v>261</v>
      </c>
      <c r="B263" s="4">
        <v>45555</v>
      </c>
      <c r="C263" s="5">
        <v>0</v>
      </c>
      <c r="D263" s="5">
        <v>1572.49</v>
      </c>
      <c r="E263" s="5">
        <v>994.26</v>
      </c>
      <c r="F263" s="3" t="str">
        <f>IF(A263&lt;=[1]Assumptions!$B$4,"Commissioning",IF(A263&lt;=[1]Assumptions!$B$5,"Handover","Recommissioning"))</f>
        <v>Handover</v>
      </c>
      <c r="G263" s="6" t="str">
        <f t="shared" si="4"/>
        <v>2024-09</v>
      </c>
    </row>
    <row r="264" spans="1:7" x14ac:dyDescent="0.3">
      <c r="A264" s="3">
        <v>262</v>
      </c>
      <c r="B264" s="4">
        <v>45556</v>
      </c>
      <c r="C264" s="5">
        <v>0</v>
      </c>
      <c r="D264" s="5">
        <v>1704.57</v>
      </c>
      <c r="E264" s="5">
        <v>973.22</v>
      </c>
      <c r="F264" s="3" t="str">
        <f>IF(A264&lt;=[1]Assumptions!$B$4,"Commissioning",IF(A264&lt;=[1]Assumptions!$B$5,"Handover","Recommissioning"))</f>
        <v>Handover</v>
      </c>
      <c r="G264" s="6" t="str">
        <f t="shared" si="4"/>
        <v>2024-09</v>
      </c>
    </row>
    <row r="265" spans="1:7" x14ac:dyDescent="0.3">
      <c r="A265" s="3">
        <v>263</v>
      </c>
      <c r="B265" s="4">
        <v>45557</v>
      </c>
      <c r="C265" s="5">
        <v>0</v>
      </c>
      <c r="D265" s="5">
        <v>1663.21</v>
      </c>
      <c r="E265" s="5">
        <v>961.88</v>
      </c>
      <c r="F265" s="3" t="str">
        <f>IF(A265&lt;=[1]Assumptions!$B$4,"Commissioning",IF(A265&lt;=[1]Assumptions!$B$5,"Handover","Recommissioning"))</f>
        <v>Handover</v>
      </c>
      <c r="G265" s="6" t="str">
        <f t="shared" si="4"/>
        <v>2024-09</v>
      </c>
    </row>
    <row r="266" spans="1:7" x14ac:dyDescent="0.3">
      <c r="A266" s="3">
        <v>264</v>
      </c>
      <c r="B266" s="4">
        <v>45558</v>
      </c>
      <c r="C266" s="5">
        <v>0</v>
      </c>
      <c r="D266" s="5">
        <v>1694.44</v>
      </c>
      <c r="E266" s="5">
        <v>1012.28</v>
      </c>
      <c r="F266" s="3" t="str">
        <f>IF(A266&lt;=[1]Assumptions!$B$4,"Commissioning",IF(A266&lt;=[1]Assumptions!$B$5,"Handover","Recommissioning"))</f>
        <v>Handover</v>
      </c>
      <c r="G266" s="6" t="str">
        <f t="shared" si="4"/>
        <v>2024-09</v>
      </c>
    </row>
    <row r="267" spans="1:7" x14ac:dyDescent="0.3">
      <c r="A267" s="3">
        <v>265</v>
      </c>
      <c r="B267" s="4">
        <v>45559</v>
      </c>
      <c r="C267" s="5">
        <v>0</v>
      </c>
      <c r="D267" s="5">
        <v>1632.39</v>
      </c>
      <c r="E267" s="5">
        <v>968.77</v>
      </c>
      <c r="F267" s="3" t="str">
        <f>IF(A267&lt;=[1]Assumptions!$B$4,"Commissioning",IF(A267&lt;=[1]Assumptions!$B$5,"Handover","Recommissioning"))</f>
        <v>Handover</v>
      </c>
      <c r="G267" s="6" t="str">
        <f t="shared" si="4"/>
        <v>2024-09</v>
      </c>
    </row>
    <row r="268" spans="1:7" x14ac:dyDescent="0.3">
      <c r="A268" s="3">
        <v>266</v>
      </c>
      <c r="B268" s="4">
        <v>45560</v>
      </c>
      <c r="C268" s="5">
        <v>0</v>
      </c>
      <c r="D268" s="5">
        <v>1567.98</v>
      </c>
      <c r="E268" s="5">
        <v>998.6</v>
      </c>
      <c r="F268" s="3" t="str">
        <f>IF(A268&lt;=[1]Assumptions!$B$4,"Commissioning",IF(A268&lt;=[1]Assumptions!$B$5,"Handover","Recommissioning"))</f>
        <v>Handover</v>
      </c>
      <c r="G268" s="6" t="str">
        <f t="shared" si="4"/>
        <v>2024-09</v>
      </c>
    </row>
    <row r="269" spans="1:7" x14ac:dyDescent="0.3">
      <c r="A269" s="3">
        <v>267</v>
      </c>
      <c r="B269" s="4">
        <v>45561</v>
      </c>
      <c r="C269" s="5">
        <v>0</v>
      </c>
      <c r="D269" s="5">
        <v>1610.61</v>
      </c>
      <c r="E269" s="5">
        <v>1010.18</v>
      </c>
      <c r="F269" s="3" t="str">
        <f>IF(A269&lt;=[1]Assumptions!$B$4,"Commissioning",IF(A269&lt;=[1]Assumptions!$B$5,"Handover","Recommissioning"))</f>
        <v>Handover</v>
      </c>
      <c r="G269" s="6" t="str">
        <f t="shared" si="4"/>
        <v>2024-09</v>
      </c>
    </row>
    <row r="270" spans="1:7" x14ac:dyDescent="0.3">
      <c r="A270" s="3">
        <v>268</v>
      </c>
      <c r="B270" s="4">
        <v>45562</v>
      </c>
      <c r="C270" s="5">
        <v>0</v>
      </c>
      <c r="D270" s="5">
        <v>1673.14</v>
      </c>
      <c r="E270" s="5">
        <v>982.82</v>
      </c>
      <c r="F270" s="3" t="str">
        <f>IF(A270&lt;=[1]Assumptions!$B$4,"Commissioning",IF(A270&lt;=[1]Assumptions!$B$5,"Handover","Recommissioning"))</f>
        <v>Handover</v>
      </c>
      <c r="G270" s="6" t="str">
        <f t="shared" si="4"/>
        <v>2024-09</v>
      </c>
    </row>
    <row r="271" spans="1:7" x14ac:dyDescent="0.3">
      <c r="A271" s="3">
        <v>269</v>
      </c>
      <c r="B271" s="4">
        <v>45563</v>
      </c>
      <c r="C271" s="5">
        <v>0</v>
      </c>
      <c r="D271" s="5">
        <v>1577.88</v>
      </c>
      <c r="E271" s="5">
        <v>953.48</v>
      </c>
      <c r="F271" s="3" t="str">
        <f>IF(A271&lt;=[1]Assumptions!$B$4,"Commissioning",IF(A271&lt;=[1]Assumptions!$B$5,"Handover","Recommissioning"))</f>
        <v>Handover</v>
      </c>
      <c r="G271" s="6" t="str">
        <f t="shared" si="4"/>
        <v>2024-09</v>
      </c>
    </row>
    <row r="272" spans="1:7" x14ac:dyDescent="0.3">
      <c r="A272" s="3">
        <v>270</v>
      </c>
      <c r="B272" s="4">
        <v>45564</v>
      </c>
      <c r="C272" s="5">
        <v>0</v>
      </c>
      <c r="D272" s="5">
        <v>1611.88</v>
      </c>
      <c r="E272" s="5">
        <v>967.06</v>
      </c>
      <c r="F272" s="3" t="str">
        <f>IF(A272&lt;=[1]Assumptions!$B$4,"Commissioning",IF(A272&lt;=[1]Assumptions!$B$5,"Handover","Recommissioning"))</f>
        <v>Handover</v>
      </c>
      <c r="G272" s="6" t="str">
        <f t="shared" si="4"/>
        <v>2024-09</v>
      </c>
    </row>
    <row r="273" spans="1:7" x14ac:dyDescent="0.3">
      <c r="A273" s="3">
        <v>271</v>
      </c>
      <c r="B273" s="4">
        <v>45565</v>
      </c>
      <c r="C273" s="5">
        <v>0</v>
      </c>
      <c r="D273" s="5">
        <v>1558.92</v>
      </c>
      <c r="E273" s="5">
        <v>980.29</v>
      </c>
      <c r="F273" s="3" t="str">
        <f>IF(A273&lt;=[1]Assumptions!$B$4,"Commissioning",IF(A273&lt;=[1]Assumptions!$B$5,"Handover","Recommissioning"))</f>
        <v>Handover</v>
      </c>
      <c r="G273" s="6" t="str">
        <f t="shared" si="4"/>
        <v>2024-09</v>
      </c>
    </row>
    <row r="274" spans="1:7" x14ac:dyDescent="0.3">
      <c r="A274" s="3">
        <v>272</v>
      </c>
      <c r="B274" s="4">
        <v>45566</v>
      </c>
      <c r="C274" s="5">
        <v>0</v>
      </c>
      <c r="D274" s="5">
        <v>1580.65</v>
      </c>
      <c r="E274" s="5">
        <v>985.01</v>
      </c>
      <c r="F274" s="3" t="str">
        <f>IF(A274&lt;=[1]Assumptions!$B$4,"Commissioning",IF(A274&lt;=[1]Assumptions!$B$5,"Handover","Recommissioning"))</f>
        <v>Handover</v>
      </c>
      <c r="G274" s="6" t="str">
        <f t="shared" si="4"/>
        <v>2024-10</v>
      </c>
    </row>
    <row r="275" spans="1:7" x14ac:dyDescent="0.3">
      <c r="A275" s="3">
        <v>273</v>
      </c>
      <c r="B275" s="4">
        <v>45567</v>
      </c>
      <c r="C275" s="5">
        <v>0</v>
      </c>
      <c r="D275" s="5">
        <v>1594.05</v>
      </c>
      <c r="E275" s="5">
        <v>963.5</v>
      </c>
      <c r="F275" s="3" t="str">
        <f>IF(A275&lt;=[1]Assumptions!$B$4,"Commissioning",IF(A275&lt;=[1]Assumptions!$B$5,"Handover","Recommissioning"))</f>
        <v>Handover</v>
      </c>
      <c r="G275" s="6" t="str">
        <f t="shared" si="4"/>
        <v>2024-10</v>
      </c>
    </row>
    <row r="276" spans="1:7" x14ac:dyDescent="0.3">
      <c r="A276" s="3">
        <v>274</v>
      </c>
      <c r="B276" s="4">
        <v>45568</v>
      </c>
      <c r="C276" s="5">
        <v>0</v>
      </c>
      <c r="D276" s="5">
        <v>1626.19</v>
      </c>
      <c r="E276" s="5">
        <v>960.85</v>
      </c>
      <c r="F276" s="3" t="str">
        <f>IF(A276&lt;=[1]Assumptions!$B$4,"Commissioning",IF(A276&lt;=[1]Assumptions!$B$5,"Handover","Recommissioning"))</f>
        <v>Handover</v>
      </c>
      <c r="G276" s="6" t="str">
        <f t="shared" si="4"/>
        <v>2024-10</v>
      </c>
    </row>
    <row r="277" spans="1:7" x14ac:dyDescent="0.3">
      <c r="A277" s="3">
        <v>275</v>
      </c>
      <c r="B277" s="4">
        <v>45569</v>
      </c>
      <c r="C277" s="5">
        <v>97.16</v>
      </c>
      <c r="D277" s="5">
        <v>1683.17</v>
      </c>
      <c r="E277" s="5">
        <v>902.84</v>
      </c>
      <c r="F277" s="3" t="str">
        <f>IF(A277&lt;=[1]Assumptions!$B$4,"Commissioning",IF(A277&lt;=[1]Assumptions!$B$5,"Handover","Recommissioning"))</f>
        <v>Handover</v>
      </c>
      <c r="G277" s="6" t="str">
        <f t="shared" si="4"/>
        <v>2024-10</v>
      </c>
    </row>
    <row r="278" spans="1:7" x14ac:dyDescent="0.3">
      <c r="A278" s="3">
        <v>276</v>
      </c>
      <c r="B278" s="4">
        <v>45570</v>
      </c>
      <c r="C278" s="5">
        <v>590.89</v>
      </c>
      <c r="D278" s="5">
        <v>1553.97</v>
      </c>
      <c r="E278" s="5">
        <v>409.11</v>
      </c>
      <c r="F278" s="3" t="str">
        <f>IF(A278&lt;=[1]Assumptions!$B$4,"Commissioning",IF(A278&lt;=[1]Assumptions!$B$5,"Handover","Recommissioning"))</f>
        <v>Handover</v>
      </c>
      <c r="G278" s="6" t="str">
        <f t="shared" si="4"/>
        <v>2024-10</v>
      </c>
    </row>
    <row r="279" spans="1:7" x14ac:dyDescent="0.3">
      <c r="A279" s="3">
        <v>277</v>
      </c>
      <c r="B279" s="4">
        <v>45571</v>
      </c>
      <c r="C279" s="5">
        <v>52.19</v>
      </c>
      <c r="D279" s="5">
        <v>1679.96</v>
      </c>
      <c r="E279" s="5">
        <v>947.81</v>
      </c>
      <c r="F279" s="3" t="str">
        <f>IF(A279&lt;=[1]Assumptions!$B$4,"Commissioning",IF(A279&lt;=[1]Assumptions!$B$5,"Handover","Recommissioning"))</f>
        <v>Handover</v>
      </c>
      <c r="G279" s="6" t="str">
        <f t="shared" si="4"/>
        <v>2024-10</v>
      </c>
    </row>
    <row r="280" spans="1:7" x14ac:dyDescent="0.3">
      <c r="A280" s="3">
        <v>278</v>
      </c>
      <c r="B280" s="4">
        <v>45572</v>
      </c>
      <c r="C280" s="5">
        <v>128.02000000000001</v>
      </c>
      <c r="D280" s="5">
        <v>1654.15</v>
      </c>
      <c r="E280" s="5">
        <v>871.98</v>
      </c>
      <c r="F280" s="3" t="str">
        <f>IF(A280&lt;=[1]Assumptions!$B$4,"Commissioning",IF(A280&lt;=[1]Assumptions!$B$5,"Handover","Recommissioning"))</f>
        <v>Handover</v>
      </c>
      <c r="G280" s="6" t="str">
        <f t="shared" si="4"/>
        <v>2024-10</v>
      </c>
    </row>
    <row r="281" spans="1:7" x14ac:dyDescent="0.3">
      <c r="A281" s="3">
        <v>279</v>
      </c>
      <c r="B281" s="4">
        <v>45573</v>
      </c>
      <c r="C281" s="5">
        <v>166.26</v>
      </c>
      <c r="D281" s="5">
        <v>1633.1</v>
      </c>
      <c r="E281" s="5">
        <v>833.74</v>
      </c>
      <c r="F281" s="3" t="str">
        <f>IF(A281&lt;=[1]Assumptions!$B$4,"Commissioning",IF(A281&lt;=[1]Assumptions!$B$5,"Handover","Recommissioning"))</f>
        <v>Handover</v>
      </c>
      <c r="G281" s="6" t="str">
        <f t="shared" si="4"/>
        <v>2024-10</v>
      </c>
    </row>
    <row r="282" spans="1:7" x14ac:dyDescent="0.3">
      <c r="A282" s="3">
        <v>280</v>
      </c>
      <c r="B282" s="4">
        <v>45574</v>
      </c>
      <c r="C282" s="5">
        <v>0</v>
      </c>
      <c r="D282" s="5">
        <v>1629.18</v>
      </c>
      <c r="E282" s="5">
        <v>987.45</v>
      </c>
      <c r="F282" s="3" t="str">
        <f>IF(A282&lt;=[1]Assumptions!$B$4,"Commissioning",IF(A282&lt;=[1]Assumptions!$B$5,"Handover","Recommissioning"))</f>
        <v>Handover</v>
      </c>
      <c r="G282" s="6" t="str">
        <f t="shared" si="4"/>
        <v>2024-10</v>
      </c>
    </row>
    <row r="283" spans="1:7" x14ac:dyDescent="0.3">
      <c r="A283" s="3">
        <v>281</v>
      </c>
      <c r="B283" s="4">
        <v>45575</v>
      </c>
      <c r="C283" s="5">
        <v>0</v>
      </c>
      <c r="D283" s="5">
        <v>1617.69</v>
      </c>
      <c r="E283" s="5">
        <v>995.56</v>
      </c>
      <c r="F283" s="3" t="str">
        <f>IF(A283&lt;=[1]Assumptions!$B$4,"Commissioning",IF(A283&lt;=[1]Assumptions!$B$5,"Handover","Recommissioning"))</f>
        <v>Handover</v>
      </c>
      <c r="G283" s="6" t="str">
        <f t="shared" si="4"/>
        <v>2024-10</v>
      </c>
    </row>
    <row r="284" spans="1:7" x14ac:dyDescent="0.3">
      <c r="A284" s="3">
        <v>282</v>
      </c>
      <c r="B284" s="4">
        <v>45576</v>
      </c>
      <c r="C284" s="5">
        <v>0.66</v>
      </c>
      <c r="D284" s="5">
        <v>1670.37</v>
      </c>
      <c r="E284" s="5">
        <v>999.34</v>
      </c>
      <c r="F284" s="3" t="str">
        <f>IF(A284&lt;=[1]Assumptions!$B$4,"Commissioning",IF(A284&lt;=[1]Assumptions!$B$5,"Handover","Recommissioning"))</f>
        <v>Handover</v>
      </c>
      <c r="G284" s="6" t="str">
        <f t="shared" si="4"/>
        <v>2024-10</v>
      </c>
    </row>
    <row r="285" spans="1:7" x14ac:dyDescent="0.3">
      <c r="A285" s="3">
        <v>283</v>
      </c>
      <c r="B285" s="4">
        <v>45577</v>
      </c>
      <c r="C285" s="5">
        <v>187.95</v>
      </c>
      <c r="D285" s="5">
        <v>1583.83</v>
      </c>
      <c r="E285" s="5">
        <v>812.05</v>
      </c>
      <c r="F285" s="3" t="str">
        <f>IF(A285&lt;=[1]Assumptions!$B$4,"Commissioning",IF(A285&lt;=[1]Assumptions!$B$5,"Handover","Recommissioning"))</f>
        <v>Handover</v>
      </c>
      <c r="G285" s="6" t="str">
        <f t="shared" si="4"/>
        <v>2024-10</v>
      </c>
    </row>
    <row r="286" spans="1:7" x14ac:dyDescent="0.3">
      <c r="A286" s="3">
        <v>284</v>
      </c>
      <c r="B286" s="4">
        <v>45578</v>
      </c>
      <c r="C286" s="5">
        <v>181.19</v>
      </c>
      <c r="D286" s="5">
        <v>1572.46</v>
      </c>
      <c r="E286" s="5">
        <v>818.81</v>
      </c>
      <c r="F286" s="3" t="str">
        <f>IF(A286&lt;=[1]Assumptions!$B$4,"Commissioning",IF(A286&lt;=[1]Assumptions!$B$5,"Handover","Recommissioning"))</f>
        <v>Handover</v>
      </c>
      <c r="G286" s="6" t="str">
        <f t="shared" si="4"/>
        <v>2024-10</v>
      </c>
    </row>
    <row r="287" spans="1:7" x14ac:dyDescent="0.3">
      <c r="A287" s="3">
        <v>285</v>
      </c>
      <c r="B287" s="4">
        <v>45579</v>
      </c>
      <c r="C287" s="5">
        <v>379.96</v>
      </c>
      <c r="D287" s="5">
        <v>1559.68</v>
      </c>
      <c r="E287" s="5">
        <v>620.04</v>
      </c>
      <c r="F287" s="3" t="str">
        <f>IF(A287&lt;=[1]Assumptions!$B$4,"Commissioning",IF(A287&lt;=[1]Assumptions!$B$5,"Handover","Recommissioning"))</f>
        <v>Handover</v>
      </c>
      <c r="G287" s="6" t="str">
        <f t="shared" si="4"/>
        <v>2024-10</v>
      </c>
    </row>
    <row r="288" spans="1:7" x14ac:dyDescent="0.3">
      <c r="A288" s="3">
        <v>286</v>
      </c>
      <c r="B288" s="4">
        <v>45580</v>
      </c>
      <c r="C288" s="5">
        <v>193.39</v>
      </c>
      <c r="D288" s="5">
        <v>1582.67</v>
      </c>
      <c r="E288" s="5">
        <v>806.61</v>
      </c>
      <c r="F288" s="3" t="str">
        <f>IF(A288&lt;=[1]Assumptions!$B$4,"Commissioning",IF(A288&lt;=[1]Assumptions!$B$5,"Handover","Recommissioning"))</f>
        <v>Handover</v>
      </c>
      <c r="G288" s="6" t="str">
        <f t="shared" si="4"/>
        <v>2024-10</v>
      </c>
    </row>
    <row r="289" spans="1:7" x14ac:dyDescent="0.3">
      <c r="A289" s="3">
        <v>287</v>
      </c>
      <c r="B289" s="4">
        <v>45581</v>
      </c>
      <c r="C289" s="5">
        <v>230.53</v>
      </c>
      <c r="D289" s="5">
        <v>1652.51</v>
      </c>
      <c r="E289" s="5">
        <v>769.47</v>
      </c>
      <c r="F289" s="3" t="str">
        <f>IF(A289&lt;=[1]Assumptions!$B$4,"Commissioning",IF(A289&lt;=[1]Assumptions!$B$5,"Handover","Recommissioning"))</f>
        <v>Handover</v>
      </c>
      <c r="G289" s="6" t="str">
        <f t="shared" si="4"/>
        <v>2024-10</v>
      </c>
    </row>
    <row r="290" spans="1:7" x14ac:dyDescent="0.3">
      <c r="A290" s="3">
        <v>288</v>
      </c>
      <c r="B290" s="4">
        <v>45582</v>
      </c>
      <c r="C290" s="5">
        <v>320.52999999999997</v>
      </c>
      <c r="D290" s="5">
        <v>1624.84</v>
      </c>
      <c r="E290" s="5">
        <v>679.47</v>
      </c>
      <c r="F290" s="3" t="str">
        <f>IF(A290&lt;=[1]Assumptions!$B$4,"Commissioning",IF(A290&lt;=[1]Assumptions!$B$5,"Handover","Recommissioning"))</f>
        <v>Handover</v>
      </c>
      <c r="G290" s="6" t="str">
        <f t="shared" si="4"/>
        <v>2024-10</v>
      </c>
    </row>
    <row r="291" spans="1:7" x14ac:dyDescent="0.3">
      <c r="A291" s="3">
        <v>289</v>
      </c>
      <c r="B291" s="4">
        <v>45583</v>
      </c>
      <c r="C291" s="5">
        <v>64.150000000000006</v>
      </c>
      <c r="D291" s="5">
        <v>1635.53</v>
      </c>
      <c r="E291" s="5">
        <v>935.85</v>
      </c>
      <c r="F291" s="3" t="str">
        <f>IF(A291&lt;=[1]Assumptions!$B$4,"Commissioning",IF(A291&lt;=[1]Assumptions!$B$5,"Handover","Recommissioning"))</f>
        <v>Handover</v>
      </c>
      <c r="G291" s="6" t="str">
        <f t="shared" si="4"/>
        <v>2024-10</v>
      </c>
    </row>
    <row r="292" spans="1:7" x14ac:dyDescent="0.3">
      <c r="A292" s="3">
        <v>290</v>
      </c>
      <c r="B292" s="4">
        <v>45584</v>
      </c>
      <c r="C292" s="5">
        <v>0</v>
      </c>
      <c r="D292" s="5">
        <v>1691.76</v>
      </c>
      <c r="E292" s="5">
        <v>1000.94</v>
      </c>
      <c r="F292" s="3" t="str">
        <f>IF(A292&lt;=[1]Assumptions!$B$4,"Commissioning",IF(A292&lt;=[1]Assumptions!$B$5,"Handover","Recommissioning"))</f>
        <v>Handover</v>
      </c>
      <c r="G292" s="6" t="str">
        <f t="shared" si="4"/>
        <v>2024-10</v>
      </c>
    </row>
    <row r="293" spans="1:7" x14ac:dyDescent="0.3">
      <c r="A293" s="3">
        <v>291</v>
      </c>
      <c r="B293" s="4">
        <v>45585</v>
      </c>
      <c r="C293" s="5">
        <v>0</v>
      </c>
      <c r="D293" s="5">
        <v>1673.44</v>
      </c>
      <c r="E293" s="5">
        <v>1006.44</v>
      </c>
      <c r="F293" s="3" t="str">
        <f>IF(A293&lt;=[1]Assumptions!$B$4,"Commissioning",IF(A293&lt;=[1]Assumptions!$B$5,"Handover","Recommissioning"))</f>
        <v>Handover</v>
      </c>
      <c r="G293" s="6" t="str">
        <f t="shared" si="4"/>
        <v>2024-10</v>
      </c>
    </row>
    <row r="294" spans="1:7" x14ac:dyDescent="0.3">
      <c r="A294" s="3">
        <v>292</v>
      </c>
      <c r="B294" s="4">
        <v>45586</v>
      </c>
      <c r="C294" s="5">
        <v>0</v>
      </c>
      <c r="D294" s="5">
        <v>1584.83</v>
      </c>
      <c r="E294" s="5">
        <v>960.54</v>
      </c>
      <c r="F294" s="3" t="str">
        <f>IF(A294&lt;=[1]Assumptions!$B$4,"Commissioning",IF(A294&lt;=[1]Assumptions!$B$5,"Handover","Recommissioning"))</f>
        <v>Handover</v>
      </c>
      <c r="G294" s="6" t="str">
        <f t="shared" si="4"/>
        <v>2024-10</v>
      </c>
    </row>
    <row r="295" spans="1:7" x14ac:dyDescent="0.3">
      <c r="A295" s="3">
        <v>293</v>
      </c>
      <c r="B295" s="4">
        <v>45587</v>
      </c>
      <c r="C295" s="5">
        <v>0</v>
      </c>
      <c r="D295" s="5">
        <v>1558.41</v>
      </c>
      <c r="E295" s="5">
        <v>1000.81</v>
      </c>
      <c r="F295" s="3" t="str">
        <f>IF(A295&lt;=[1]Assumptions!$B$4,"Commissioning",IF(A295&lt;=[1]Assumptions!$B$5,"Handover","Recommissioning"))</f>
        <v>Handover</v>
      </c>
      <c r="G295" s="6" t="str">
        <f t="shared" si="4"/>
        <v>2024-10</v>
      </c>
    </row>
    <row r="296" spans="1:7" x14ac:dyDescent="0.3">
      <c r="A296" s="3">
        <v>294</v>
      </c>
      <c r="B296" s="4">
        <v>45588</v>
      </c>
      <c r="C296" s="5">
        <v>26.82</v>
      </c>
      <c r="D296" s="5">
        <v>1569.13</v>
      </c>
      <c r="E296" s="5">
        <v>973.18</v>
      </c>
      <c r="F296" s="3" t="str">
        <f>IF(A296&lt;=[1]Assumptions!$B$4,"Commissioning",IF(A296&lt;=[1]Assumptions!$B$5,"Handover","Recommissioning"))</f>
        <v>Handover</v>
      </c>
      <c r="G296" s="6" t="str">
        <f t="shared" si="4"/>
        <v>2024-10</v>
      </c>
    </row>
    <row r="297" spans="1:7" x14ac:dyDescent="0.3">
      <c r="A297" s="3">
        <v>295</v>
      </c>
      <c r="B297" s="4">
        <v>45589</v>
      </c>
      <c r="C297" s="5">
        <v>0</v>
      </c>
      <c r="D297" s="5">
        <v>1627.68</v>
      </c>
      <c r="E297" s="5">
        <v>994.42</v>
      </c>
      <c r="F297" s="3" t="str">
        <f>IF(A297&lt;=[1]Assumptions!$B$4,"Commissioning",IF(A297&lt;=[1]Assumptions!$B$5,"Handover","Recommissioning"))</f>
        <v>Handover</v>
      </c>
      <c r="G297" s="6" t="str">
        <f t="shared" si="4"/>
        <v>2024-10</v>
      </c>
    </row>
    <row r="298" spans="1:7" x14ac:dyDescent="0.3">
      <c r="A298" s="3">
        <v>296</v>
      </c>
      <c r="B298" s="4">
        <v>45590</v>
      </c>
      <c r="C298" s="5">
        <v>74.569999999999993</v>
      </c>
      <c r="D298" s="5">
        <v>1584.56</v>
      </c>
      <c r="E298" s="5">
        <v>925.43</v>
      </c>
      <c r="F298" s="3" t="str">
        <f>IF(A298&lt;=[1]Assumptions!$B$4,"Commissioning",IF(A298&lt;=[1]Assumptions!$B$5,"Handover","Recommissioning"))</f>
        <v>Handover</v>
      </c>
      <c r="G298" s="6" t="str">
        <f t="shared" si="4"/>
        <v>2024-10</v>
      </c>
    </row>
    <row r="299" spans="1:7" x14ac:dyDescent="0.3">
      <c r="A299" s="3">
        <v>297</v>
      </c>
      <c r="B299" s="4">
        <v>45591</v>
      </c>
      <c r="C299" s="5">
        <v>401.46</v>
      </c>
      <c r="D299" s="5">
        <v>744.08</v>
      </c>
      <c r="E299" s="5">
        <v>598.54</v>
      </c>
      <c r="F299" s="3" t="str">
        <f>IF(A299&lt;=[1]Assumptions!$B$4,"Commissioning",IF(A299&lt;=[1]Assumptions!$B$5,"Handover","Recommissioning"))</f>
        <v>Handover</v>
      </c>
      <c r="G299" s="6" t="str">
        <f t="shared" si="4"/>
        <v>2024-10</v>
      </c>
    </row>
    <row r="300" spans="1:7" x14ac:dyDescent="0.3">
      <c r="A300" s="3">
        <v>298</v>
      </c>
      <c r="B300" s="4">
        <v>45592</v>
      </c>
      <c r="C300" s="5">
        <v>347.5</v>
      </c>
      <c r="D300" s="5">
        <v>764.23</v>
      </c>
      <c r="E300" s="5">
        <v>652.5</v>
      </c>
      <c r="F300" s="3" t="str">
        <f>IF(A300&lt;=[1]Assumptions!$B$4,"Commissioning",IF(A300&lt;=[1]Assumptions!$B$5,"Handover","Recommissioning"))</f>
        <v>Handover</v>
      </c>
      <c r="G300" s="6" t="str">
        <f t="shared" si="4"/>
        <v>2024-10</v>
      </c>
    </row>
    <row r="301" spans="1:7" x14ac:dyDescent="0.3">
      <c r="A301" s="3">
        <v>299</v>
      </c>
      <c r="B301" s="4">
        <v>45593</v>
      </c>
      <c r="C301" s="5">
        <v>271.27999999999997</v>
      </c>
      <c r="D301" s="5">
        <v>826.03</v>
      </c>
      <c r="E301" s="5">
        <v>728.72</v>
      </c>
      <c r="F301" s="3" t="str">
        <f>IF(A301&lt;=[1]Assumptions!$B$4,"Commissioning",IF(A301&lt;=[1]Assumptions!$B$5,"Handover","Recommissioning"))</f>
        <v>Handover</v>
      </c>
      <c r="G301" s="6" t="str">
        <f t="shared" si="4"/>
        <v>2024-10</v>
      </c>
    </row>
    <row r="302" spans="1:7" x14ac:dyDescent="0.3">
      <c r="A302" s="3">
        <v>300</v>
      </c>
      <c r="B302" s="4">
        <v>45594</v>
      </c>
      <c r="C302" s="5">
        <v>286.51</v>
      </c>
      <c r="D302" s="5">
        <v>847.88</v>
      </c>
      <c r="E302" s="5">
        <v>713.49</v>
      </c>
      <c r="F302" s="3" t="str">
        <f>IF(A302&lt;=[1]Assumptions!$B$4,"Commissioning",IF(A302&lt;=[1]Assumptions!$B$5,"Handover","Recommissioning"))</f>
        <v>Handover</v>
      </c>
      <c r="G302" s="6" t="str">
        <f t="shared" si="4"/>
        <v>2024-10</v>
      </c>
    </row>
    <row r="303" spans="1:7" x14ac:dyDescent="0.3">
      <c r="A303" s="3">
        <v>301</v>
      </c>
      <c r="B303" s="4">
        <v>45595</v>
      </c>
      <c r="C303" s="5">
        <v>693.15</v>
      </c>
      <c r="D303" s="5">
        <v>371.67</v>
      </c>
      <c r="E303" s="5">
        <v>306.85000000000002</v>
      </c>
      <c r="F303" s="3" t="str">
        <f>IF(A303&lt;=[1]Assumptions!$B$4,"Commissioning",IF(A303&lt;=[1]Assumptions!$B$5,"Handover","Recommissioning"))</f>
        <v>Handover</v>
      </c>
      <c r="G303" s="6" t="str">
        <f t="shared" si="4"/>
        <v>2024-10</v>
      </c>
    </row>
    <row r="304" spans="1:7" x14ac:dyDescent="0.3">
      <c r="A304" s="3">
        <v>302</v>
      </c>
      <c r="B304" s="4">
        <v>45596</v>
      </c>
      <c r="C304" s="5">
        <v>823.43</v>
      </c>
      <c r="D304" s="5">
        <v>222.91</v>
      </c>
      <c r="E304" s="5">
        <v>176.57</v>
      </c>
      <c r="F304" s="3" t="str">
        <f>IF(A304&lt;=[1]Assumptions!$B$4,"Commissioning",IF(A304&lt;=[1]Assumptions!$B$5,"Handover","Recommissioning"))</f>
        <v>Handover</v>
      </c>
      <c r="G304" s="6" t="str">
        <f t="shared" si="4"/>
        <v>2024-10</v>
      </c>
    </row>
    <row r="305" spans="1:7" x14ac:dyDescent="0.3">
      <c r="A305" s="3">
        <v>303</v>
      </c>
      <c r="B305" s="4">
        <v>45597</v>
      </c>
      <c r="C305" s="5">
        <v>881.25</v>
      </c>
      <c r="D305" s="5">
        <v>149.07</v>
      </c>
      <c r="E305" s="5">
        <v>118.75</v>
      </c>
      <c r="F305" s="3" t="str">
        <f>IF(A305&lt;=[1]Assumptions!$B$4,"Commissioning",IF(A305&lt;=[1]Assumptions!$B$5,"Handover","Recommissioning"))</f>
        <v>Handover</v>
      </c>
      <c r="G305" s="6" t="str">
        <f t="shared" si="4"/>
        <v>2024-11</v>
      </c>
    </row>
    <row r="306" spans="1:7" x14ac:dyDescent="0.3">
      <c r="A306" s="3">
        <v>304</v>
      </c>
      <c r="B306" s="4">
        <v>45598</v>
      </c>
      <c r="C306" s="5">
        <v>368.07</v>
      </c>
      <c r="D306" s="5">
        <v>812.67</v>
      </c>
      <c r="E306" s="5">
        <v>631.92999999999995</v>
      </c>
      <c r="F306" s="3" t="str">
        <f>IF(A306&lt;=[1]Assumptions!$B$4,"Commissioning",IF(A306&lt;=[1]Assumptions!$B$5,"Handover","Recommissioning"))</f>
        <v>Handover</v>
      </c>
      <c r="G306" s="6" t="str">
        <f t="shared" si="4"/>
        <v>2024-11</v>
      </c>
    </row>
    <row r="307" spans="1:7" x14ac:dyDescent="0.3">
      <c r="A307" s="3">
        <v>305</v>
      </c>
      <c r="B307" s="4">
        <v>45599</v>
      </c>
      <c r="C307" s="5">
        <v>224.4</v>
      </c>
      <c r="D307" s="5">
        <v>966</v>
      </c>
      <c r="E307" s="5">
        <v>775.6</v>
      </c>
      <c r="F307" s="3" t="str">
        <f>IF(A307&lt;=[1]Assumptions!$B$4,"Commissioning",IF(A307&lt;=[1]Assumptions!$B$5,"Handover","Recommissioning"))</f>
        <v>Handover</v>
      </c>
      <c r="G307" s="6" t="str">
        <f t="shared" si="4"/>
        <v>2024-11</v>
      </c>
    </row>
    <row r="308" spans="1:7" x14ac:dyDescent="0.3">
      <c r="A308" s="3">
        <v>306</v>
      </c>
      <c r="B308" s="4">
        <v>45600</v>
      </c>
      <c r="C308" s="5">
        <v>402.75</v>
      </c>
      <c r="D308" s="5">
        <v>764.82</v>
      </c>
      <c r="E308" s="5">
        <v>597.25</v>
      </c>
      <c r="F308" s="3" t="str">
        <f>IF(A308&lt;=[1]Assumptions!$B$4,"Commissioning",IF(A308&lt;=[1]Assumptions!$B$5,"Handover","Recommissioning"))</f>
        <v>Handover</v>
      </c>
      <c r="G308" s="6" t="str">
        <f t="shared" si="4"/>
        <v>2024-11</v>
      </c>
    </row>
    <row r="309" spans="1:7" x14ac:dyDescent="0.3">
      <c r="A309" s="3">
        <v>307</v>
      </c>
      <c r="B309" s="4">
        <v>45601</v>
      </c>
      <c r="C309" s="5">
        <v>271.89999999999998</v>
      </c>
      <c r="D309" s="5">
        <v>903.35</v>
      </c>
      <c r="E309" s="5">
        <v>728.1</v>
      </c>
      <c r="F309" s="3" t="str">
        <f>IF(A309&lt;=[1]Assumptions!$B$4,"Commissioning",IF(A309&lt;=[1]Assumptions!$B$5,"Handover","Recommissioning"))</f>
        <v>Handover</v>
      </c>
      <c r="G309" s="6" t="str">
        <f t="shared" si="4"/>
        <v>2024-11</v>
      </c>
    </row>
    <row r="310" spans="1:7" x14ac:dyDescent="0.3">
      <c r="A310" s="3">
        <v>308</v>
      </c>
      <c r="B310" s="4">
        <v>45602</v>
      </c>
      <c r="C310" s="5">
        <v>352.42</v>
      </c>
      <c r="D310" s="5">
        <v>742.04</v>
      </c>
      <c r="E310" s="5">
        <v>647.58000000000004</v>
      </c>
      <c r="F310" s="3" t="str">
        <f>IF(A310&lt;=[1]Assumptions!$B$4,"Commissioning",IF(A310&lt;=[1]Assumptions!$B$5,"Handover","Recommissioning"))</f>
        <v>Handover</v>
      </c>
      <c r="G310" s="6" t="str">
        <f t="shared" si="4"/>
        <v>2024-11</v>
      </c>
    </row>
    <row r="311" spans="1:7" x14ac:dyDescent="0.3">
      <c r="A311" s="3">
        <v>309</v>
      </c>
      <c r="B311" s="4">
        <v>45603</v>
      </c>
      <c r="C311" s="5">
        <v>365.35</v>
      </c>
      <c r="D311" s="5">
        <v>727.98</v>
      </c>
      <c r="E311" s="5">
        <v>634.65</v>
      </c>
      <c r="F311" s="3" t="str">
        <f>IF(A311&lt;=[1]Assumptions!$B$4,"Commissioning",IF(A311&lt;=[1]Assumptions!$B$5,"Handover","Recommissioning"))</f>
        <v>Handover</v>
      </c>
      <c r="G311" s="6" t="str">
        <f t="shared" si="4"/>
        <v>2024-11</v>
      </c>
    </row>
    <row r="312" spans="1:7" x14ac:dyDescent="0.3">
      <c r="A312" s="3">
        <v>310</v>
      </c>
      <c r="B312" s="4">
        <v>45604</v>
      </c>
      <c r="C312" s="5">
        <v>435.77</v>
      </c>
      <c r="D312" s="5">
        <v>685.99</v>
      </c>
      <c r="E312" s="5">
        <v>564.23</v>
      </c>
      <c r="F312" s="3" t="str">
        <f>IF(A312&lt;=[1]Assumptions!$B$4,"Commissioning",IF(A312&lt;=[1]Assumptions!$B$5,"Handover","Recommissioning"))</f>
        <v>Handover</v>
      </c>
      <c r="G312" s="6" t="str">
        <f t="shared" si="4"/>
        <v>2024-11</v>
      </c>
    </row>
    <row r="313" spans="1:7" x14ac:dyDescent="0.3">
      <c r="A313" s="3">
        <v>311</v>
      </c>
      <c r="B313" s="4">
        <v>45605</v>
      </c>
      <c r="C313" s="5">
        <v>388.98</v>
      </c>
      <c r="D313" s="5">
        <v>691.28</v>
      </c>
      <c r="E313" s="5">
        <v>611.02</v>
      </c>
      <c r="F313" s="3" t="str">
        <f>IF(A313&lt;=[1]Assumptions!$B$4,"Commissioning",IF(A313&lt;=[1]Assumptions!$B$5,"Handover","Recommissioning"))</f>
        <v>Handover</v>
      </c>
      <c r="G313" s="6" t="str">
        <f t="shared" si="4"/>
        <v>2024-11</v>
      </c>
    </row>
    <row r="314" spans="1:7" x14ac:dyDescent="0.3">
      <c r="A314" s="3">
        <v>312</v>
      </c>
      <c r="B314" s="4">
        <v>45606</v>
      </c>
      <c r="C314" s="5">
        <v>398.66</v>
      </c>
      <c r="D314" s="5">
        <v>680.63</v>
      </c>
      <c r="E314" s="5">
        <v>601.34</v>
      </c>
      <c r="F314" s="3" t="str">
        <f>IF(A314&lt;=[1]Assumptions!$B$4,"Commissioning",IF(A314&lt;=[1]Assumptions!$B$5,"Handover","Recommissioning"))</f>
        <v>Handover</v>
      </c>
      <c r="G314" s="6" t="str">
        <f t="shared" si="4"/>
        <v>2024-11</v>
      </c>
    </row>
    <row r="315" spans="1:7" x14ac:dyDescent="0.3">
      <c r="A315" s="3">
        <v>313</v>
      </c>
      <c r="B315" s="4">
        <v>45607</v>
      </c>
      <c r="C315" s="5">
        <v>315.29000000000002</v>
      </c>
      <c r="D315" s="5">
        <v>780.74</v>
      </c>
      <c r="E315" s="5">
        <v>684.71</v>
      </c>
      <c r="F315" s="3" t="str">
        <f>IF(A315&lt;=[1]Assumptions!$B$4,"Commissioning",IF(A315&lt;=[1]Assumptions!$B$5,"Handover","Recommissioning"))</f>
        <v>Handover</v>
      </c>
      <c r="G315" s="6" t="str">
        <f t="shared" si="4"/>
        <v>2024-11</v>
      </c>
    </row>
    <row r="316" spans="1:7" x14ac:dyDescent="0.3">
      <c r="A316" s="3">
        <v>314</v>
      </c>
      <c r="B316" s="4">
        <v>45608</v>
      </c>
      <c r="C316" s="5">
        <v>371.37</v>
      </c>
      <c r="D316" s="5">
        <v>758.94</v>
      </c>
      <c r="E316" s="5">
        <v>628.63</v>
      </c>
      <c r="F316" s="3" t="str">
        <f>IF(A316&lt;=[1]Assumptions!$B$4,"Commissioning",IF(A316&lt;=[1]Assumptions!$B$5,"Handover","Recommissioning"))</f>
        <v>Handover</v>
      </c>
      <c r="G316" s="6" t="str">
        <f t="shared" si="4"/>
        <v>2024-11</v>
      </c>
    </row>
    <row r="317" spans="1:7" x14ac:dyDescent="0.3">
      <c r="A317" s="3">
        <v>315</v>
      </c>
      <c r="B317" s="4">
        <v>45609</v>
      </c>
      <c r="C317" s="5">
        <v>490.4</v>
      </c>
      <c r="D317" s="5">
        <v>610.80999999999995</v>
      </c>
      <c r="E317" s="5">
        <v>509.6</v>
      </c>
      <c r="F317" s="3" t="str">
        <f>IF(A317&lt;=[1]Assumptions!$B$4,"Commissioning",IF(A317&lt;=[1]Assumptions!$B$5,"Handover","Recommissioning"))</f>
        <v>Handover</v>
      </c>
      <c r="G317" s="6" t="str">
        <f t="shared" si="4"/>
        <v>2024-11</v>
      </c>
    </row>
    <row r="318" spans="1:7" x14ac:dyDescent="0.3">
      <c r="A318" s="3">
        <v>316</v>
      </c>
      <c r="B318" s="4">
        <v>45610</v>
      </c>
      <c r="C318" s="5">
        <v>687.21</v>
      </c>
      <c r="D318" s="5">
        <v>360.32</v>
      </c>
      <c r="E318" s="5">
        <v>312.79000000000002</v>
      </c>
      <c r="F318" s="3" t="str">
        <f>IF(A318&lt;=[1]Assumptions!$B$4,"Commissioning",IF(A318&lt;=[1]Assumptions!$B$5,"Handover","Recommissioning"))</f>
        <v>Handover</v>
      </c>
      <c r="G318" s="6" t="str">
        <f t="shared" si="4"/>
        <v>2024-11</v>
      </c>
    </row>
    <row r="319" spans="1:7" x14ac:dyDescent="0.3">
      <c r="A319" s="3">
        <v>317</v>
      </c>
      <c r="B319" s="4">
        <v>45611</v>
      </c>
      <c r="C319" s="5">
        <v>625.87</v>
      </c>
      <c r="D319" s="5">
        <v>427.43</v>
      </c>
      <c r="E319" s="5">
        <v>374.13</v>
      </c>
      <c r="F319" s="3" t="str">
        <f>IF(A319&lt;=[1]Assumptions!$B$4,"Commissioning",IF(A319&lt;=[1]Assumptions!$B$5,"Handover","Recommissioning"))</f>
        <v>Handover</v>
      </c>
      <c r="G319" s="6" t="str">
        <f t="shared" si="4"/>
        <v>2024-11</v>
      </c>
    </row>
    <row r="320" spans="1:7" x14ac:dyDescent="0.3">
      <c r="A320" s="3">
        <v>318</v>
      </c>
      <c r="B320" s="4">
        <v>45612</v>
      </c>
      <c r="C320" s="5">
        <v>427.91</v>
      </c>
      <c r="D320" s="5">
        <v>676.63</v>
      </c>
      <c r="E320" s="5">
        <v>572.09</v>
      </c>
      <c r="F320" s="3" t="str">
        <f>IF(A320&lt;=[1]Assumptions!$B$4,"Commissioning",IF(A320&lt;=[1]Assumptions!$B$5,"Handover","Recommissioning"))</f>
        <v>Handover</v>
      </c>
      <c r="G320" s="6" t="str">
        <f t="shared" si="4"/>
        <v>2024-11</v>
      </c>
    </row>
    <row r="321" spans="1:7" x14ac:dyDescent="0.3">
      <c r="A321" s="3">
        <v>319</v>
      </c>
      <c r="B321" s="4">
        <v>45613</v>
      </c>
      <c r="C321" s="5">
        <v>400.59</v>
      </c>
      <c r="D321" s="5">
        <v>724.1</v>
      </c>
      <c r="E321" s="5">
        <v>599.41</v>
      </c>
      <c r="F321" s="3" t="str">
        <f>IF(A321&lt;=[1]Assumptions!$B$4,"Commissioning",IF(A321&lt;=[1]Assumptions!$B$5,"Handover","Recommissioning"))</f>
        <v>Handover</v>
      </c>
      <c r="G321" s="6" t="str">
        <f t="shared" si="4"/>
        <v>2024-11</v>
      </c>
    </row>
    <row r="322" spans="1:7" x14ac:dyDescent="0.3">
      <c r="A322" s="3">
        <v>320</v>
      </c>
      <c r="B322" s="4">
        <v>45614</v>
      </c>
      <c r="C322" s="5">
        <v>380.66</v>
      </c>
      <c r="D322" s="5">
        <v>781.5</v>
      </c>
      <c r="E322" s="5">
        <v>619.34</v>
      </c>
      <c r="F322" s="3" t="str">
        <f>IF(A322&lt;=[1]Assumptions!$B$4,"Commissioning",IF(A322&lt;=[1]Assumptions!$B$5,"Handover","Recommissioning"))</f>
        <v>Handover</v>
      </c>
      <c r="G322" s="6" t="str">
        <f t="shared" si="4"/>
        <v>2024-11</v>
      </c>
    </row>
    <row r="323" spans="1:7" x14ac:dyDescent="0.3">
      <c r="A323" s="3">
        <v>321</v>
      </c>
      <c r="B323" s="4">
        <v>45615</v>
      </c>
      <c r="C323" s="5">
        <v>360.09</v>
      </c>
      <c r="D323" s="5">
        <v>805.93</v>
      </c>
      <c r="E323" s="5">
        <v>639.91</v>
      </c>
      <c r="F323" s="3" t="str">
        <f>IF(A323&lt;=[1]Assumptions!$B$4,"Commissioning",IF(A323&lt;=[1]Assumptions!$B$5,"Handover","Recommissioning"))</f>
        <v>Handover</v>
      </c>
      <c r="G323" s="6" t="str">
        <f t="shared" ref="G323:G386" si="5">YEAR(B323)&amp;"-"&amp;TEXT(MONTH(B323),"00")</f>
        <v>2024-11</v>
      </c>
    </row>
    <row r="324" spans="1:7" x14ac:dyDescent="0.3">
      <c r="A324" s="3">
        <v>322</v>
      </c>
      <c r="B324" s="4">
        <v>45616</v>
      </c>
      <c r="C324" s="5">
        <v>375.71</v>
      </c>
      <c r="D324" s="5">
        <v>774.75</v>
      </c>
      <c r="E324" s="5">
        <v>624.29</v>
      </c>
      <c r="F324" s="3" t="str">
        <f>IF(A324&lt;=[1]Assumptions!$B$4,"Commissioning",IF(A324&lt;=[1]Assumptions!$B$5,"Handover","Recommissioning"))</f>
        <v>Handover</v>
      </c>
      <c r="G324" s="6" t="str">
        <f t="shared" si="5"/>
        <v>2024-11</v>
      </c>
    </row>
    <row r="325" spans="1:7" x14ac:dyDescent="0.3">
      <c r="A325" s="3">
        <v>323</v>
      </c>
      <c r="B325" s="4">
        <v>45617</v>
      </c>
      <c r="C325" s="5">
        <v>488.8</v>
      </c>
      <c r="D325" s="5">
        <v>652.79</v>
      </c>
      <c r="E325" s="5">
        <v>511.2</v>
      </c>
      <c r="F325" s="3" t="str">
        <f>IF(A325&lt;=[1]Assumptions!$B$4,"Commissioning",IF(A325&lt;=[1]Assumptions!$B$5,"Handover","Recommissioning"))</f>
        <v>Handover</v>
      </c>
      <c r="G325" s="6" t="str">
        <f t="shared" si="5"/>
        <v>2024-11</v>
      </c>
    </row>
    <row r="326" spans="1:7" x14ac:dyDescent="0.3">
      <c r="A326" s="3">
        <v>324</v>
      </c>
      <c r="B326" s="4">
        <v>45618</v>
      </c>
      <c r="C326" s="5">
        <v>495.05</v>
      </c>
      <c r="D326" s="5">
        <v>650.12</v>
      </c>
      <c r="E326" s="5">
        <v>504.95</v>
      </c>
      <c r="F326" s="3" t="str">
        <f>IF(A326&lt;=[1]Assumptions!$B$4,"Commissioning",IF(A326&lt;=[1]Assumptions!$B$5,"Handover","Recommissioning"))</f>
        <v>Handover</v>
      </c>
      <c r="G326" s="6" t="str">
        <f t="shared" si="5"/>
        <v>2024-11</v>
      </c>
    </row>
    <row r="327" spans="1:7" x14ac:dyDescent="0.3">
      <c r="A327" s="3">
        <v>325</v>
      </c>
      <c r="B327" s="4">
        <v>45619</v>
      </c>
      <c r="C327" s="5">
        <v>501.96</v>
      </c>
      <c r="D327" s="5">
        <v>593.97</v>
      </c>
      <c r="E327" s="5">
        <v>498.04</v>
      </c>
      <c r="F327" s="3" t="str">
        <f>IF(A327&lt;=[1]Assumptions!$B$4,"Commissioning",IF(A327&lt;=[1]Assumptions!$B$5,"Handover","Recommissioning"))</f>
        <v>Handover</v>
      </c>
      <c r="G327" s="6" t="str">
        <f t="shared" si="5"/>
        <v>2024-11</v>
      </c>
    </row>
    <row r="328" spans="1:7" x14ac:dyDescent="0.3">
      <c r="A328" s="3">
        <v>326</v>
      </c>
      <c r="B328" s="4">
        <v>45620</v>
      </c>
      <c r="C328" s="5">
        <v>498.7</v>
      </c>
      <c r="D328" s="5">
        <v>626.30999999999995</v>
      </c>
      <c r="E328" s="5">
        <v>501.3</v>
      </c>
      <c r="F328" s="3" t="str">
        <f>IF(A328&lt;=[1]Assumptions!$B$4,"Commissioning",IF(A328&lt;=[1]Assumptions!$B$5,"Handover","Recommissioning"))</f>
        <v>Handover</v>
      </c>
      <c r="G328" s="6" t="str">
        <f t="shared" si="5"/>
        <v>2024-11</v>
      </c>
    </row>
    <row r="329" spans="1:7" x14ac:dyDescent="0.3">
      <c r="A329" s="3">
        <v>327</v>
      </c>
      <c r="B329" s="4">
        <v>45621</v>
      </c>
      <c r="C329" s="5">
        <v>492.15</v>
      </c>
      <c r="D329" s="5">
        <v>589.36</v>
      </c>
      <c r="E329" s="5">
        <v>507.85</v>
      </c>
      <c r="F329" s="3" t="str">
        <f>IF(A329&lt;=[1]Assumptions!$B$4,"Commissioning",IF(A329&lt;=[1]Assumptions!$B$5,"Handover","Recommissioning"))</f>
        <v>Handover</v>
      </c>
      <c r="G329" s="6" t="str">
        <f t="shared" si="5"/>
        <v>2024-11</v>
      </c>
    </row>
    <row r="330" spans="1:7" x14ac:dyDescent="0.3">
      <c r="A330" s="3">
        <v>328</v>
      </c>
      <c r="B330" s="4">
        <v>45622</v>
      </c>
      <c r="C330" s="5">
        <v>186.87</v>
      </c>
      <c r="D330" s="5">
        <v>1003</v>
      </c>
      <c r="E330" s="5">
        <v>813.13</v>
      </c>
      <c r="F330" s="3" t="str">
        <f>IF(A330&lt;=[1]Assumptions!$B$4,"Commissioning",IF(A330&lt;=[1]Assumptions!$B$5,"Handover","Recommissioning"))</f>
        <v>Handover</v>
      </c>
      <c r="G330" s="6" t="str">
        <f t="shared" si="5"/>
        <v>2024-11</v>
      </c>
    </row>
    <row r="331" spans="1:7" x14ac:dyDescent="0.3">
      <c r="A331" s="3">
        <v>329</v>
      </c>
      <c r="B331" s="4">
        <v>45623</v>
      </c>
      <c r="C331" s="5">
        <v>0</v>
      </c>
      <c r="D331" s="5">
        <v>1170.1400000000001</v>
      </c>
      <c r="E331" s="5">
        <v>1000</v>
      </c>
      <c r="F331" s="3" t="str">
        <f>IF(A331&lt;=[1]Assumptions!$B$4,"Commissioning",IF(A331&lt;=[1]Assumptions!$B$5,"Handover","Recommissioning"))</f>
        <v>Handover</v>
      </c>
      <c r="G331" s="6" t="str">
        <f t="shared" si="5"/>
        <v>2024-11</v>
      </c>
    </row>
    <row r="332" spans="1:7" x14ac:dyDescent="0.3">
      <c r="A332" s="3">
        <v>330</v>
      </c>
      <c r="B332" s="4">
        <v>45624</v>
      </c>
      <c r="C332" s="5">
        <v>6.94</v>
      </c>
      <c r="D332" s="5">
        <v>1190.8599999999999</v>
      </c>
      <c r="E332" s="5">
        <v>993.06</v>
      </c>
      <c r="F332" s="3" t="str">
        <f>IF(A332&lt;=[1]Assumptions!$B$4,"Commissioning",IF(A332&lt;=[1]Assumptions!$B$5,"Handover","Recommissioning"))</f>
        <v>Handover</v>
      </c>
      <c r="G332" s="6" t="str">
        <f t="shared" si="5"/>
        <v>2024-11</v>
      </c>
    </row>
    <row r="333" spans="1:7" x14ac:dyDescent="0.3">
      <c r="A333" s="3">
        <v>331</v>
      </c>
      <c r="B333" s="4">
        <v>45625</v>
      </c>
      <c r="C333" s="5">
        <v>504.59</v>
      </c>
      <c r="D333" s="5">
        <v>591.32000000000005</v>
      </c>
      <c r="E333" s="5">
        <v>495.41</v>
      </c>
      <c r="F333" s="3" t="str">
        <f>IF(A333&lt;=[1]Assumptions!$B$4,"Commissioning",IF(A333&lt;=[1]Assumptions!$B$5,"Handover","Recommissioning"))</f>
        <v>Handover</v>
      </c>
      <c r="G333" s="6" t="str">
        <f t="shared" si="5"/>
        <v>2024-11</v>
      </c>
    </row>
    <row r="334" spans="1:7" x14ac:dyDescent="0.3">
      <c r="A334" s="3">
        <v>332</v>
      </c>
      <c r="B334" s="4">
        <v>45626</v>
      </c>
      <c r="C334" s="5">
        <v>604.75</v>
      </c>
      <c r="D334" s="5">
        <v>491.42</v>
      </c>
      <c r="E334" s="5">
        <v>395.25</v>
      </c>
      <c r="F334" s="3" t="str">
        <f>IF(A334&lt;=[1]Assumptions!$B$4,"Commissioning",IF(A334&lt;=[1]Assumptions!$B$5,"Handover","Recommissioning"))</f>
        <v>Handover</v>
      </c>
      <c r="G334" s="6" t="str">
        <f t="shared" si="5"/>
        <v>2024-11</v>
      </c>
    </row>
    <row r="335" spans="1:7" x14ac:dyDescent="0.3">
      <c r="A335" s="3">
        <v>333</v>
      </c>
      <c r="B335" s="4">
        <v>45627</v>
      </c>
      <c r="C335" s="5">
        <v>853.65</v>
      </c>
      <c r="D335" s="5">
        <v>188.72</v>
      </c>
      <c r="E335" s="5">
        <v>146.35</v>
      </c>
      <c r="F335" s="3" t="str">
        <f>IF(A335&lt;=[1]Assumptions!$B$4,"Commissioning",IF(A335&lt;=[1]Assumptions!$B$5,"Handover","Recommissioning"))</f>
        <v>Handover</v>
      </c>
      <c r="G335" s="6" t="str">
        <f t="shared" si="5"/>
        <v>2024-12</v>
      </c>
    </row>
    <row r="336" spans="1:7" x14ac:dyDescent="0.3">
      <c r="A336" s="3">
        <v>334</v>
      </c>
      <c r="B336" s="4">
        <v>45628</v>
      </c>
      <c r="C336" s="5">
        <v>633.94000000000005</v>
      </c>
      <c r="D336" s="5">
        <v>426.35</v>
      </c>
      <c r="E336" s="5">
        <v>366.06</v>
      </c>
      <c r="F336" s="3" t="str">
        <f>IF(A336&lt;=[1]Assumptions!$B$4,"Commissioning",IF(A336&lt;=[1]Assumptions!$B$5,"Handover","Recommissioning"))</f>
        <v>Handover</v>
      </c>
      <c r="G336" s="6" t="str">
        <f t="shared" si="5"/>
        <v>2024-12</v>
      </c>
    </row>
    <row r="337" spans="1:7" x14ac:dyDescent="0.3">
      <c r="A337" s="3">
        <v>335</v>
      </c>
      <c r="B337" s="4">
        <v>45629</v>
      </c>
      <c r="C337" s="5">
        <v>144.18</v>
      </c>
      <c r="D337" s="5">
        <v>1086.2</v>
      </c>
      <c r="E337" s="5">
        <v>855.82</v>
      </c>
      <c r="F337" s="3" t="str">
        <f>IF(A337&lt;=[1]Assumptions!$B$4,"Commissioning",IF(A337&lt;=[1]Assumptions!$B$5,"Handover","Recommissioning"))</f>
        <v>Handover</v>
      </c>
      <c r="G337" s="6" t="str">
        <f t="shared" si="5"/>
        <v>2024-12</v>
      </c>
    </row>
    <row r="338" spans="1:7" x14ac:dyDescent="0.3">
      <c r="A338" s="3">
        <v>336</v>
      </c>
      <c r="B338" s="4">
        <v>45630</v>
      </c>
      <c r="C338" s="5">
        <v>456.21</v>
      </c>
      <c r="D338" s="5">
        <v>702.12</v>
      </c>
      <c r="E338" s="5">
        <v>543.79</v>
      </c>
      <c r="F338" s="3" t="str">
        <f>IF(A338&lt;=[1]Assumptions!$B$4,"Commissioning",IF(A338&lt;=[1]Assumptions!$B$5,"Handover","Recommissioning"))</f>
        <v>Handover</v>
      </c>
      <c r="G338" s="6" t="str">
        <f t="shared" si="5"/>
        <v>2024-12</v>
      </c>
    </row>
    <row r="339" spans="1:7" x14ac:dyDescent="0.3">
      <c r="A339" s="3">
        <v>337</v>
      </c>
      <c r="B339" s="4">
        <v>45631</v>
      </c>
      <c r="C339" s="5">
        <v>449.86</v>
      </c>
      <c r="D339" s="5">
        <v>624.02</v>
      </c>
      <c r="E339" s="5">
        <v>550.14</v>
      </c>
      <c r="F339" s="3" t="str">
        <f>IF(A339&lt;=[1]Assumptions!$B$4,"Commissioning",IF(A339&lt;=[1]Assumptions!$B$5,"Handover","Recommissioning"))</f>
        <v>Handover</v>
      </c>
      <c r="G339" s="6" t="str">
        <f t="shared" si="5"/>
        <v>2024-12</v>
      </c>
    </row>
    <row r="340" spans="1:7" x14ac:dyDescent="0.3">
      <c r="A340" s="3">
        <v>338</v>
      </c>
      <c r="B340" s="4">
        <v>45632</v>
      </c>
      <c r="C340" s="5">
        <v>423.08</v>
      </c>
      <c r="D340" s="5">
        <v>689.19</v>
      </c>
      <c r="E340" s="5">
        <v>576.91999999999996</v>
      </c>
      <c r="F340" s="3" t="str">
        <f>IF(A340&lt;=[1]Assumptions!$B$4,"Commissioning",IF(A340&lt;=[1]Assumptions!$B$5,"Handover","Recommissioning"))</f>
        <v>Handover</v>
      </c>
      <c r="G340" s="6" t="str">
        <f t="shared" si="5"/>
        <v>2024-12</v>
      </c>
    </row>
    <row r="341" spans="1:7" x14ac:dyDescent="0.3">
      <c r="A341" s="3">
        <v>339</v>
      </c>
      <c r="B341" s="4">
        <v>45633</v>
      </c>
      <c r="C341" s="5">
        <v>358.12</v>
      </c>
      <c r="D341" s="5">
        <v>776.91</v>
      </c>
      <c r="E341" s="5">
        <v>641.88</v>
      </c>
      <c r="F341" s="3" t="str">
        <f>IF(A341&lt;=[1]Assumptions!$B$4,"Commissioning",IF(A341&lt;=[1]Assumptions!$B$5,"Handover","Recommissioning"))</f>
        <v>Handover</v>
      </c>
      <c r="G341" s="6" t="str">
        <f t="shared" si="5"/>
        <v>2024-12</v>
      </c>
    </row>
    <row r="342" spans="1:7" x14ac:dyDescent="0.3">
      <c r="A342" s="3">
        <v>340</v>
      </c>
      <c r="B342" s="4">
        <v>45634</v>
      </c>
      <c r="C342" s="5">
        <v>474.84</v>
      </c>
      <c r="D342" s="5">
        <v>602.66</v>
      </c>
      <c r="E342" s="5">
        <v>525.16</v>
      </c>
      <c r="F342" s="3" t="str">
        <f>IF(A342&lt;=[1]Assumptions!$B$4,"Commissioning",IF(A342&lt;=[1]Assumptions!$B$5,"Handover","Recommissioning"))</f>
        <v>Handover</v>
      </c>
      <c r="G342" s="6" t="str">
        <f t="shared" si="5"/>
        <v>2024-12</v>
      </c>
    </row>
    <row r="343" spans="1:7" x14ac:dyDescent="0.3">
      <c r="A343" s="3">
        <v>341</v>
      </c>
      <c r="B343" s="4">
        <v>45635</v>
      </c>
      <c r="C343" s="5">
        <v>21.82</v>
      </c>
      <c r="D343" s="5">
        <v>1216.04</v>
      </c>
      <c r="E343" s="5">
        <v>978.18</v>
      </c>
      <c r="F343" s="3" t="str">
        <f>IF(A343&lt;=[1]Assumptions!$B$4,"Commissioning",IF(A343&lt;=[1]Assumptions!$B$5,"Handover","Recommissioning"))</f>
        <v>Handover</v>
      </c>
      <c r="G343" s="6" t="str">
        <f t="shared" si="5"/>
        <v>2024-12</v>
      </c>
    </row>
    <row r="344" spans="1:7" x14ac:dyDescent="0.3">
      <c r="A344" s="3">
        <v>342</v>
      </c>
      <c r="B344" s="4">
        <v>45636</v>
      </c>
      <c r="C344" s="5">
        <v>0</v>
      </c>
      <c r="D344" s="5">
        <v>1673.33</v>
      </c>
      <c r="E344" s="5">
        <v>1009.16</v>
      </c>
      <c r="F344" s="3" t="str">
        <f>IF(A344&lt;=[1]Assumptions!$B$4,"Commissioning",IF(A344&lt;=[1]Assumptions!$B$5,"Handover","Recommissioning"))</f>
        <v>Handover</v>
      </c>
      <c r="G344" s="6" t="str">
        <f t="shared" si="5"/>
        <v>2024-12</v>
      </c>
    </row>
    <row r="345" spans="1:7" x14ac:dyDescent="0.3">
      <c r="A345" s="3">
        <v>343</v>
      </c>
      <c r="B345" s="4">
        <v>45637</v>
      </c>
      <c r="C345" s="5">
        <v>0</v>
      </c>
      <c r="D345" s="5">
        <v>1693.97</v>
      </c>
      <c r="E345" s="5">
        <v>967.73</v>
      </c>
      <c r="F345" s="3" t="str">
        <f>IF(A345&lt;=[1]Assumptions!$B$4,"Commissioning",IF(A345&lt;=[1]Assumptions!$B$5,"Handover","Recommissioning"))</f>
        <v>Handover</v>
      </c>
      <c r="G345" s="6" t="str">
        <f t="shared" si="5"/>
        <v>2024-12</v>
      </c>
    </row>
    <row r="346" spans="1:7" x14ac:dyDescent="0.3">
      <c r="A346" s="3">
        <v>344</v>
      </c>
      <c r="B346" s="4">
        <v>45638</v>
      </c>
      <c r="C346" s="5">
        <v>0</v>
      </c>
      <c r="D346" s="5">
        <v>1621.09</v>
      </c>
      <c r="E346" s="5">
        <v>971.37</v>
      </c>
      <c r="F346" s="3" t="str">
        <f>IF(A346&lt;=[1]Assumptions!$B$4,"Commissioning",IF(A346&lt;=[1]Assumptions!$B$5,"Handover","Recommissioning"))</f>
        <v>Handover</v>
      </c>
      <c r="G346" s="6" t="str">
        <f t="shared" si="5"/>
        <v>2024-12</v>
      </c>
    </row>
    <row r="347" spans="1:7" x14ac:dyDescent="0.3">
      <c r="A347" s="3">
        <v>345</v>
      </c>
      <c r="B347" s="4">
        <v>45639</v>
      </c>
      <c r="C347" s="5">
        <v>0</v>
      </c>
      <c r="D347" s="5">
        <v>1674.36</v>
      </c>
      <c r="E347" s="5">
        <v>961.05</v>
      </c>
      <c r="F347" s="3" t="str">
        <f>IF(A347&lt;=[1]Assumptions!$B$4,"Commissioning",IF(A347&lt;=[1]Assumptions!$B$5,"Handover","Recommissioning"))</f>
        <v>Handover</v>
      </c>
      <c r="G347" s="6" t="str">
        <f t="shared" si="5"/>
        <v>2024-12</v>
      </c>
    </row>
    <row r="348" spans="1:7" x14ac:dyDescent="0.3">
      <c r="A348" s="3">
        <v>346</v>
      </c>
      <c r="B348" s="4">
        <v>45640</v>
      </c>
      <c r="C348" s="5">
        <v>0</v>
      </c>
      <c r="D348" s="5">
        <v>1630.4</v>
      </c>
      <c r="E348" s="5">
        <v>999.82</v>
      </c>
      <c r="F348" s="3" t="str">
        <f>IF(A348&lt;=[1]Assumptions!$B$4,"Commissioning",IF(A348&lt;=[1]Assumptions!$B$5,"Handover","Recommissioning"))</f>
        <v>Handover</v>
      </c>
      <c r="G348" s="6" t="str">
        <f t="shared" si="5"/>
        <v>2024-12</v>
      </c>
    </row>
    <row r="349" spans="1:7" x14ac:dyDescent="0.3">
      <c r="A349" s="3">
        <v>347</v>
      </c>
      <c r="B349" s="4">
        <v>45641</v>
      </c>
      <c r="C349" s="5">
        <v>0</v>
      </c>
      <c r="D349" s="5">
        <v>1636.83</v>
      </c>
      <c r="E349" s="5">
        <v>981.65</v>
      </c>
      <c r="F349" s="3" t="str">
        <f>IF(A349&lt;=[1]Assumptions!$B$4,"Commissioning",IF(A349&lt;=[1]Assumptions!$B$5,"Handover","Recommissioning"))</f>
        <v>Handover</v>
      </c>
      <c r="G349" s="6" t="str">
        <f t="shared" si="5"/>
        <v>2024-12</v>
      </c>
    </row>
    <row r="350" spans="1:7" x14ac:dyDescent="0.3">
      <c r="A350" s="3">
        <v>348</v>
      </c>
      <c r="B350" s="4">
        <v>45642</v>
      </c>
      <c r="C350" s="5">
        <v>0</v>
      </c>
      <c r="D350" s="5">
        <v>1632.32</v>
      </c>
      <c r="E350" s="5">
        <v>987.9</v>
      </c>
      <c r="F350" s="3" t="str">
        <f>IF(A350&lt;=[1]Assumptions!$B$4,"Commissioning",IF(A350&lt;=[1]Assumptions!$B$5,"Handover","Recommissioning"))</f>
        <v>Handover</v>
      </c>
      <c r="G350" s="6" t="str">
        <f t="shared" si="5"/>
        <v>2024-12</v>
      </c>
    </row>
    <row r="351" spans="1:7" x14ac:dyDescent="0.3">
      <c r="A351" s="3">
        <v>349</v>
      </c>
      <c r="B351" s="4">
        <v>45643</v>
      </c>
      <c r="C351" s="5">
        <v>0</v>
      </c>
      <c r="D351" s="5">
        <v>1628.14</v>
      </c>
      <c r="E351" s="5">
        <v>1001.78</v>
      </c>
      <c r="F351" s="3" t="str">
        <f>IF(A351&lt;=[1]Assumptions!$B$4,"Commissioning",IF(A351&lt;=[1]Assumptions!$B$5,"Handover","Recommissioning"))</f>
        <v>Handover</v>
      </c>
      <c r="G351" s="6" t="str">
        <f t="shared" si="5"/>
        <v>2024-12</v>
      </c>
    </row>
    <row r="352" spans="1:7" x14ac:dyDescent="0.3">
      <c r="A352" s="3">
        <v>350</v>
      </c>
      <c r="B352" s="4">
        <v>45644</v>
      </c>
      <c r="C352" s="5">
        <v>0</v>
      </c>
      <c r="D352" s="5">
        <v>1646.59</v>
      </c>
      <c r="E352" s="5">
        <v>955.27</v>
      </c>
      <c r="F352" s="3" t="str">
        <f>IF(A352&lt;=[1]Assumptions!$B$4,"Commissioning",IF(A352&lt;=[1]Assumptions!$B$5,"Handover","Recommissioning"))</f>
        <v>Handover</v>
      </c>
      <c r="G352" s="6" t="str">
        <f t="shared" si="5"/>
        <v>2024-12</v>
      </c>
    </row>
    <row r="353" spans="1:7" x14ac:dyDescent="0.3">
      <c r="A353" s="3">
        <v>351</v>
      </c>
      <c r="B353" s="4">
        <v>45645</v>
      </c>
      <c r="C353" s="5">
        <v>0</v>
      </c>
      <c r="D353" s="5">
        <v>1605.15</v>
      </c>
      <c r="E353" s="5">
        <v>961.82</v>
      </c>
      <c r="F353" s="3" t="str">
        <f>IF(A353&lt;=[1]Assumptions!$B$4,"Commissioning",IF(A353&lt;=[1]Assumptions!$B$5,"Handover","Recommissioning"))</f>
        <v>Handover</v>
      </c>
      <c r="G353" s="6" t="str">
        <f t="shared" si="5"/>
        <v>2024-12</v>
      </c>
    </row>
    <row r="354" spans="1:7" x14ac:dyDescent="0.3">
      <c r="A354" s="3">
        <v>352</v>
      </c>
      <c r="B354" s="4">
        <v>45646</v>
      </c>
      <c r="C354" s="5">
        <v>0</v>
      </c>
      <c r="D354" s="5">
        <v>1674.15</v>
      </c>
      <c r="E354" s="5">
        <v>978.83</v>
      </c>
      <c r="F354" s="3" t="str">
        <f>IF(A354&lt;=[1]Assumptions!$B$4,"Commissioning",IF(A354&lt;=[1]Assumptions!$B$5,"Handover","Recommissioning"))</f>
        <v>Handover</v>
      </c>
      <c r="G354" s="6" t="str">
        <f t="shared" si="5"/>
        <v>2024-12</v>
      </c>
    </row>
    <row r="355" spans="1:7" x14ac:dyDescent="0.3">
      <c r="A355" s="3">
        <v>353</v>
      </c>
      <c r="B355" s="4">
        <v>45647</v>
      </c>
      <c r="C355" s="5">
        <v>0</v>
      </c>
      <c r="D355" s="5">
        <v>1651.31</v>
      </c>
      <c r="E355" s="5">
        <v>993.59</v>
      </c>
      <c r="F355" s="3" t="str">
        <f>IF(A355&lt;=[1]Assumptions!$B$4,"Commissioning",IF(A355&lt;=[1]Assumptions!$B$5,"Handover","Recommissioning"))</f>
        <v>Handover</v>
      </c>
      <c r="G355" s="6" t="str">
        <f t="shared" si="5"/>
        <v>2024-12</v>
      </c>
    </row>
    <row r="356" spans="1:7" x14ac:dyDescent="0.3">
      <c r="A356" s="3">
        <v>354</v>
      </c>
      <c r="B356" s="4">
        <v>45648</v>
      </c>
      <c r="C356" s="5">
        <v>0</v>
      </c>
      <c r="D356" s="5">
        <v>1707.24</v>
      </c>
      <c r="E356" s="5">
        <v>984.43</v>
      </c>
      <c r="F356" s="3" t="str">
        <f>IF(A356&lt;=[1]Assumptions!$B$4,"Commissioning",IF(A356&lt;=[1]Assumptions!$B$5,"Handover","Recommissioning"))</f>
        <v>Handover</v>
      </c>
      <c r="G356" s="6" t="str">
        <f t="shared" si="5"/>
        <v>2024-12</v>
      </c>
    </row>
    <row r="357" spans="1:7" x14ac:dyDescent="0.3">
      <c r="A357" s="3">
        <v>355</v>
      </c>
      <c r="B357" s="4">
        <v>45649</v>
      </c>
      <c r="C357" s="5">
        <v>0</v>
      </c>
      <c r="D357" s="5">
        <v>1595.3</v>
      </c>
      <c r="E357" s="5">
        <v>983.13</v>
      </c>
      <c r="F357" s="3" t="str">
        <f>IF(A357&lt;=[1]Assumptions!$B$4,"Commissioning",IF(A357&lt;=[1]Assumptions!$B$5,"Handover","Recommissioning"))</f>
        <v>Handover</v>
      </c>
      <c r="G357" s="6" t="str">
        <f t="shared" si="5"/>
        <v>2024-12</v>
      </c>
    </row>
    <row r="358" spans="1:7" x14ac:dyDescent="0.3">
      <c r="A358" s="3">
        <v>356</v>
      </c>
      <c r="B358" s="4">
        <v>45650</v>
      </c>
      <c r="C358" s="5">
        <v>0</v>
      </c>
      <c r="D358" s="5">
        <v>1581.94</v>
      </c>
      <c r="E358" s="5">
        <v>982.69</v>
      </c>
      <c r="F358" s="3" t="str">
        <f>IF(A358&lt;=[1]Assumptions!$B$4,"Commissioning",IF(A358&lt;=[1]Assumptions!$B$5,"Handover","Recommissioning"))</f>
        <v>Handover</v>
      </c>
      <c r="G358" s="6" t="str">
        <f t="shared" si="5"/>
        <v>2024-12</v>
      </c>
    </row>
    <row r="359" spans="1:7" x14ac:dyDescent="0.3">
      <c r="A359" s="3">
        <v>357</v>
      </c>
      <c r="B359" s="4">
        <v>45651</v>
      </c>
      <c r="C359" s="5">
        <v>0</v>
      </c>
      <c r="D359" s="5">
        <v>1615.69</v>
      </c>
      <c r="E359" s="5">
        <v>974.67</v>
      </c>
      <c r="F359" s="3" t="str">
        <f>IF(A359&lt;=[1]Assumptions!$B$4,"Commissioning",IF(A359&lt;=[1]Assumptions!$B$5,"Handover","Recommissioning"))</f>
        <v>Handover</v>
      </c>
      <c r="G359" s="6" t="str">
        <f t="shared" si="5"/>
        <v>2024-12</v>
      </c>
    </row>
    <row r="360" spans="1:7" x14ac:dyDescent="0.3">
      <c r="A360" s="3">
        <v>358</v>
      </c>
      <c r="B360" s="4">
        <v>45652</v>
      </c>
      <c r="C360" s="5">
        <v>0</v>
      </c>
      <c r="D360" s="5">
        <v>1618.02</v>
      </c>
      <c r="E360" s="5">
        <v>997.5</v>
      </c>
      <c r="F360" s="3" t="str">
        <f>IF(A360&lt;=[1]Assumptions!$B$4,"Commissioning",IF(A360&lt;=[1]Assumptions!$B$5,"Handover","Recommissioning"))</f>
        <v>Handover</v>
      </c>
      <c r="G360" s="6" t="str">
        <f t="shared" si="5"/>
        <v>2024-12</v>
      </c>
    </row>
    <row r="361" spans="1:7" x14ac:dyDescent="0.3">
      <c r="A361" s="3">
        <v>359</v>
      </c>
      <c r="B361" s="4">
        <v>45653</v>
      </c>
      <c r="C361" s="5">
        <v>0</v>
      </c>
      <c r="D361" s="5">
        <v>1619.09</v>
      </c>
      <c r="E361" s="5">
        <v>989.61</v>
      </c>
      <c r="F361" s="3" t="str">
        <f>IF(A361&lt;=[1]Assumptions!$B$4,"Commissioning",IF(A361&lt;=[1]Assumptions!$B$5,"Handover","Recommissioning"))</f>
        <v>Handover</v>
      </c>
      <c r="G361" s="6" t="str">
        <f t="shared" si="5"/>
        <v>2024-12</v>
      </c>
    </row>
    <row r="362" spans="1:7" x14ac:dyDescent="0.3">
      <c r="A362" s="3">
        <v>360</v>
      </c>
      <c r="B362" s="4">
        <v>45654</v>
      </c>
      <c r="C362" s="5">
        <v>0</v>
      </c>
      <c r="D362" s="5">
        <v>1665.67</v>
      </c>
      <c r="E362" s="5">
        <v>953.49</v>
      </c>
      <c r="F362" s="3" t="str">
        <f>IF(A362&lt;=[1]Assumptions!$B$4,"Commissioning",IF(A362&lt;=[1]Assumptions!$B$5,"Handover","Recommissioning"))</f>
        <v>Handover</v>
      </c>
      <c r="G362" s="6" t="str">
        <f t="shared" si="5"/>
        <v>2024-12</v>
      </c>
    </row>
    <row r="363" spans="1:7" x14ac:dyDescent="0.3">
      <c r="A363" s="3">
        <v>361</v>
      </c>
      <c r="B363" s="4">
        <v>45655</v>
      </c>
      <c r="C363" s="5">
        <v>0</v>
      </c>
      <c r="D363" s="5">
        <v>1568.3</v>
      </c>
      <c r="E363" s="5">
        <v>977.24</v>
      </c>
      <c r="F363" s="3" t="str">
        <f>IF(A363&lt;=[1]Assumptions!$B$4,"Commissioning",IF(A363&lt;=[1]Assumptions!$B$5,"Handover","Recommissioning"))</f>
        <v>Handover</v>
      </c>
      <c r="G363" s="6" t="str">
        <f t="shared" si="5"/>
        <v>2024-12</v>
      </c>
    </row>
    <row r="364" spans="1:7" x14ac:dyDescent="0.3">
      <c r="A364" s="3">
        <v>362</v>
      </c>
      <c r="B364" s="4">
        <v>45656</v>
      </c>
      <c r="C364" s="5">
        <v>0</v>
      </c>
      <c r="D364" s="5">
        <v>1691.34</v>
      </c>
      <c r="E364" s="5">
        <v>987.56</v>
      </c>
      <c r="F364" s="3" t="str">
        <f>IF(A364&lt;=[1]Assumptions!$B$4,"Commissioning",IF(A364&lt;=[1]Assumptions!$B$5,"Handover","Recommissioning"))</f>
        <v>Handover</v>
      </c>
      <c r="G364" s="6" t="str">
        <f t="shared" si="5"/>
        <v>2024-12</v>
      </c>
    </row>
    <row r="365" spans="1:7" x14ac:dyDescent="0.3">
      <c r="A365" s="3">
        <v>363</v>
      </c>
      <c r="B365" s="4">
        <v>45657</v>
      </c>
      <c r="C365" s="5">
        <v>0</v>
      </c>
      <c r="D365" s="5">
        <v>1557.16</v>
      </c>
      <c r="E365" s="5">
        <v>972.27</v>
      </c>
      <c r="F365" s="3" t="str">
        <f>IF(A365&lt;=[1]Assumptions!$B$4,"Commissioning",IF(A365&lt;=[1]Assumptions!$B$5,"Handover","Recommissioning"))</f>
        <v>Handover</v>
      </c>
      <c r="G365" s="6" t="str">
        <f t="shared" si="5"/>
        <v>2024-12</v>
      </c>
    </row>
    <row r="366" spans="1:7" x14ac:dyDescent="0.3">
      <c r="A366" s="3">
        <v>364</v>
      </c>
      <c r="B366" s="4">
        <v>45658</v>
      </c>
      <c r="C366" s="5">
        <v>0</v>
      </c>
      <c r="D366" s="5">
        <v>1712.38</v>
      </c>
      <c r="E366" s="5">
        <v>969.04</v>
      </c>
      <c r="F366" s="3" t="str">
        <f>IF(A366&lt;=[1]Assumptions!$B$4,"Commissioning",IF(A366&lt;=[1]Assumptions!$B$5,"Handover","Recommissioning"))</f>
        <v>Handover</v>
      </c>
      <c r="G366" s="6" t="str">
        <f t="shared" si="5"/>
        <v>2025-01</v>
      </c>
    </row>
    <row r="367" spans="1:7" x14ac:dyDescent="0.3">
      <c r="A367" s="3">
        <v>365</v>
      </c>
      <c r="B367" s="4">
        <v>45659</v>
      </c>
      <c r="C367" s="5">
        <v>0</v>
      </c>
      <c r="D367" s="5">
        <v>1659.74</v>
      </c>
      <c r="E367" s="5">
        <v>983.74</v>
      </c>
      <c r="F367" s="3" t="str">
        <f>IF(A367&lt;=[1]Assumptions!$B$4,"Commissioning",IF(A367&lt;=[1]Assumptions!$B$5,"Handover","Recommissioning"))</f>
        <v>Handover</v>
      </c>
      <c r="G367" s="6" t="str">
        <f t="shared" si="5"/>
        <v>2025-01</v>
      </c>
    </row>
    <row r="368" spans="1:7" x14ac:dyDescent="0.3">
      <c r="A368" s="3">
        <v>366</v>
      </c>
      <c r="B368" s="4">
        <v>45660</v>
      </c>
      <c r="C368" s="5">
        <v>0</v>
      </c>
      <c r="D368" s="5">
        <v>1620.38</v>
      </c>
      <c r="E368" s="5">
        <v>959.95</v>
      </c>
      <c r="F368" s="3" t="str">
        <f>IF(A368&lt;=[1]Assumptions!$B$4,"Commissioning",IF(A368&lt;=[1]Assumptions!$B$5,"Handover","Recommissioning"))</f>
        <v>Handover</v>
      </c>
      <c r="G368" s="6" t="str">
        <f t="shared" si="5"/>
        <v>2025-01</v>
      </c>
    </row>
    <row r="369" spans="1:7" x14ac:dyDescent="0.3">
      <c r="A369" s="3">
        <v>367</v>
      </c>
      <c r="B369" s="4">
        <v>45661</v>
      </c>
      <c r="C369" s="5">
        <v>0</v>
      </c>
      <c r="D369" s="5">
        <v>1619.76</v>
      </c>
      <c r="E369" s="5">
        <v>961.16</v>
      </c>
      <c r="F369" s="3" t="str">
        <f>IF(A369&lt;=[1]Assumptions!$B$4,"Commissioning",IF(A369&lt;=[1]Assumptions!$B$5,"Handover","Recommissioning"))</f>
        <v>Handover</v>
      </c>
      <c r="G369" s="6" t="str">
        <f t="shared" si="5"/>
        <v>2025-01</v>
      </c>
    </row>
    <row r="370" spans="1:7" x14ac:dyDescent="0.3">
      <c r="A370" s="3">
        <v>368</v>
      </c>
      <c r="B370" s="4">
        <v>45662</v>
      </c>
      <c r="C370" s="5">
        <v>0</v>
      </c>
      <c r="D370" s="5">
        <v>1605.43</v>
      </c>
      <c r="E370" s="5">
        <v>957.77</v>
      </c>
      <c r="F370" s="3" t="str">
        <f>IF(A370&lt;=[1]Assumptions!$B$4,"Commissioning",IF(A370&lt;=[1]Assumptions!$B$5,"Handover","Recommissioning"))</f>
        <v>Handover</v>
      </c>
      <c r="G370" s="6" t="str">
        <f t="shared" si="5"/>
        <v>2025-01</v>
      </c>
    </row>
    <row r="371" spans="1:7" x14ac:dyDescent="0.3">
      <c r="A371" s="3">
        <v>369</v>
      </c>
      <c r="B371" s="4">
        <v>45663</v>
      </c>
      <c r="C371" s="5">
        <v>0</v>
      </c>
      <c r="D371" s="5">
        <v>1638.01</v>
      </c>
      <c r="E371" s="5">
        <v>972.12</v>
      </c>
      <c r="F371" s="3" t="str">
        <f>IF(A371&lt;=[1]Assumptions!$B$4,"Commissioning",IF(A371&lt;=[1]Assumptions!$B$5,"Handover","Recommissioning"))</f>
        <v>Handover</v>
      </c>
      <c r="G371" s="6" t="str">
        <f t="shared" si="5"/>
        <v>2025-01</v>
      </c>
    </row>
    <row r="372" spans="1:7" x14ac:dyDescent="0.3">
      <c r="A372" s="3">
        <v>370</v>
      </c>
      <c r="B372" s="4">
        <v>45664</v>
      </c>
      <c r="C372" s="5">
        <v>0</v>
      </c>
      <c r="D372" s="5">
        <v>1610.37</v>
      </c>
      <c r="E372" s="5">
        <v>953.69</v>
      </c>
      <c r="F372" s="3" t="str">
        <f>IF(A372&lt;=[1]Assumptions!$B$4,"Commissioning",IF(A372&lt;=[1]Assumptions!$B$5,"Handover","Recommissioning"))</f>
        <v>Handover</v>
      </c>
      <c r="G372" s="6" t="str">
        <f t="shared" si="5"/>
        <v>2025-01</v>
      </c>
    </row>
    <row r="373" spans="1:7" x14ac:dyDescent="0.3">
      <c r="A373" s="3">
        <v>371</v>
      </c>
      <c r="B373" s="4">
        <v>45665</v>
      </c>
      <c r="C373" s="5">
        <v>0</v>
      </c>
      <c r="D373" s="5">
        <v>1627.06</v>
      </c>
      <c r="E373" s="5">
        <v>974.43</v>
      </c>
      <c r="F373" s="3" t="str">
        <f>IF(A373&lt;=[1]Assumptions!$B$4,"Commissioning",IF(A373&lt;=[1]Assumptions!$B$5,"Handover","Recommissioning"))</f>
        <v>Handover</v>
      </c>
      <c r="G373" s="6" t="str">
        <f t="shared" si="5"/>
        <v>2025-01</v>
      </c>
    </row>
    <row r="374" spans="1:7" x14ac:dyDescent="0.3">
      <c r="A374" s="3">
        <v>372</v>
      </c>
      <c r="B374" s="4">
        <v>45666</v>
      </c>
      <c r="C374" s="5">
        <v>0</v>
      </c>
      <c r="D374" s="5">
        <v>1614.26</v>
      </c>
      <c r="E374" s="5">
        <v>975.14</v>
      </c>
      <c r="F374" s="3" t="str">
        <f>IF(A374&lt;=[1]Assumptions!$B$4,"Commissioning",IF(A374&lt;=[1]Assumptions!$B$5,"Handover","Recommissioning"))</f>
        <v>Handover</v>
      </c>
      <c r="G374" s="6" t="str">
        <f t="shared" si="5"/>
        <v>2025-01</v>
      </c>
    </row>
    <row r="375" spans="1:7" x14ac:dyDescent="0.3">
      <c r="A375" s="3">
        <v>373</v>
      </c>
      <c r="B375" s="4">
        <v>45667</v>
      </c>
      <c r="C375" s="5">
        <v>0</v>
      </c>
      <c r="D375" s="5">
        <v>1625.53</v>
      </c>
      <c r="E375" s="5">
        <v>964.22</v>
      </c>
      <c r="F375" s="3" t="str">
        <f>IF(A375&lt;=[1]Assumptions!$B$4,"Commissioning",IF(A375&lt;=[1]Assumptions!$B$5,"Handover","Recommissioning"))</f>
        <v>Handover</v>
      </c>
      <c r="G375" s="6" t="str">
        <f t="shared" si="5"/>
        <v>2025-01</v>
      </c>
    </row>
    <row r="376" spans="1:7" x14ac:dyDescent="0.3">
      <c r="A376" s="3">
        <v>374</v>
      </c>
      <c r="B376" s="4">
        <v>45668</v>
      </c>
      <c r="C376" s="5">
        <v>0</v>
      </c>
      <c r="D376" s="5">
        <v>1683.98</v>
      </c>
      <c r="E376" s="5">
        <v>1007.23</v>
      </c>
      <c r="F376" s="3" t="str">
        <f>IF(A376&lt;=[1]Assumptions!$B$4,"Commissioning",IF(A376&lt;=[1]Assumptions!$B$5,"Handover","Recommissioning"))</f>
        <v>Handover</v>
      </c>
      <c r="G376" s="6" t="str">
        <f t="shared" si="5"/>
        <v>2025-01</v>
      </c>
    </row>
    <row r="377" spans="1:7" x14ac:dyDescent="0.3">
      <c r="A377" s="3">
        <v>375</v>
      </c>
      <c r="B377" s="4">
        <v>45669</v>
      </c>
      <c r="C377" s="5">
        <v>0</v>
      </c>
      <c r="D377" s="5">
        <v>1599.61</v>
      </c>
      <c r="E377" s="5">
        <v>1006.04</v>
      </c>
      <c r="F377" s="3" t="str">
        <f>IF(A377&lt;=[1]Assumptions!$B$4,"Commissioning",IF(A377&lt;=[1]Assumptions!$B$5,"Handover","Recommissioning"))</f>
        <v>Handover</v>
      </c>
      <c r="G377" s="6" t="str">
        <f t="shared" si="5"/>
        <v>2025-01</v>
      </c>
    </row>
    <row r="378" spans="1:7" x14ac:dyDescent="0.3">
      <c r="A378" s="3">
        <v>376</v>
      </c>
      <c r="B378" s="4">
        <v>45670</v>
      </c>
      <c r="C378" s="5">
        <v>0</v>
      </c>
      <c r="D378" s="5">
        <v>1602.29</v>
      </c>
      <c r="E378" s="5">
        <v>955.28</v>
      </c>
      <c r="F378" s="3" t="str">
        <f>IF(A378&lt;=[1]Assumptions!$B$4,"Commissioning",IF(A378&lt;=[1]Assumptions!$B$5,"Handover","Recommissioning"))</f>
        <v>Handover</v>
      </c>
      <c r="G378" s="6" t="str">
        <f t="shared" si="5"/>
        <v>2025-01</v>
      </c>
    </row>
    <row r="379" spans="1:7" x14ac:dyDescent="0.3">
      <c r="A379" s="3">
        <v>377</v>
      </c>
      <c r="B379" s="4">
        <v>45671</v>
      </c>
      <c r="C379" s="5">
        <v>0</v>
      </c>
      <c r="D379" s="5">
        <v>1638.97</v>
      </c>
      <c r="E379" s="5">
        <v>977.53</v>
      </c>
      <c r="F379" s="3" t="str">
        <f>IF(A379&lt;=[1]Assumptions!$B$4,"Commissioning",IF(A379&lt;=[1]Assumptions!$B$5,"Handover","Recommissioning"))</f>
        <v>Handover</v>
      </c>
      <c r="G379" s="6" t="str">
        <f t="shared" si="5"/>
        <v>2025-01</v>
      </c>
    </row>
    <row r="380" spans="1:7" x14ac:dyDescent="0.3">
      <c r="A380" s="3">
        <v>378</v>
      </c>
      <c r="B380" s="4">
        <v>45672</v>
      </c>
      <c r="C380" s="5">
        <v>0</v>
      </c>
      <c r="D380" s="5">
        <v>1556.23</v>
      </c>
      <c r="E380" s="5">
        <v>966.59</v>
      </c>
      <c r="F380" s="3" t="str">
        <f>IF(A380&lt;=[1]Assumptions!$B$4,"Commissioning",IF(A380&lt;=[1]Assumptions!$B$5,"Handover","Recommissioning"))</f>
        <v>Handover</v>
      </c>
      <c r="G380" s="6" t="str">
        <f t="shared" si="5"/>
        <v>2025-01</v>
      </c>
    </row>
    <row r="381" spans="1:7" x14ac:dyDescent="0.3">
      <c r="A381" s="3">
        <v>379</v>
      </c>
      <c r="B381" s="4">
        <v>45673</v>
      </c>
      <c r="C381" s="5">
        <v>0</v>
      </c>
      <c r="D381" s="5">
        <v>1624.08</v>
      </c>
      <c r="E381" s="5">
        <v>1011.2</v>
      </c>
      <c r="F381" s="3" t="str">
        <f>IF(A381&lt;=[1]Assumptions!$B$4,"Commissioning",IF(A381&lt;=[1]Assumptions!$B$5,"Handover","Recommissioning"))</f>
        <v>Handover</v>
      </c>
      <c r="G381" s="6" t="str">
        <f t="shared" si="5"/>
        <v>2025-01</v>
      </c>
    </row>
    <row r="382" spans="1:7" x14ac:dyDescent="0.3">
      <c r="A382" s="3">
        <v>380</v>
      </c>
      <c r="B382" s="4">
        <v>45674</v>
      </c>
      <c r="C382" s="5">
        <v>0</v>
      </c>
      <c r="D382" s="5">
        <v>1560.58</v>
      </c>
      <c r="E382" s="5">
        <v>959.88</v>
      </c>
      <c r="F382" s="3" t="str">
        <f>IF(A382&lt;=[1]Assumptions!$B$4,"Commissioning",IF(A382&lt;=[1]Assumptions!$B$5,"Handover","Recommissioning"))</f>
        <v>Handover</v>
      </c>
      <c r="G382" s="6" t="str">
        <f t="shared" si="5"/>
        <v>2025-01</v>
      </c>
    </row>
    <row r="383" spans="1:7" x14ac:dyDescent="0.3">
      <c r="A383" s="3">
        <v>381</v>
      </c>
      <c r="B383" s="4">
        <v>45675</v>
      </c>
      <c r="C383" s="5">
        <v>0</v>
      </c>
      <c r="D383" s="5">
        <v>1595.75</v>
      </c>
      <c r="E383" s="5">
        <v>970.96</v>
      </c>
      <c r="F383" s="3" t="str">
        <f>IF(A383&lt;=[1]Assumptions!$B$4,"Commissioning",IF(A383&lt;=[1]Assumptions!$B$5,"Handover","Recommissioning"))</f>
        <v>Handover</v>
      </c>
      <c r="G383" s="6" t="str">
        <f t="shared" si="5"/>
        <v>2025-01</v>
      </c>
    </row>
    <row r="384" spans="1:7" x14ac:dyDescent="0.3">
      <c r="A384" s="3">
        <v>382</v>
      </c>
      <c r="B384" s="4">
        <v>45676</v>
      </c>
      <c r="C384" s="5">
        <v>0</v>
      </c>
      <c r="D384" s="5">
        <v>1589.13</v>
      </c>
      <c r="E384" s="5">
        <v>958.13</v>
      </c>
      <c r="F384" s="3" t="str">
        <f>IF(A384&lt;=[1]Assumptions!$B$4,"Commissioning",IF(A384&lt;=[1]Assumptions!$B$5,"Handover","Recommissioning"))</f>
        <v>Handover</v>
      </c>
      <c r="G384" s="6" t="str">
        <f t="shared" si="5"/>
        <v>2025-01</v>
      </c>
    </row>
    <row r="385" spans="1:7" x14ac:dyDescent="0.3">
      <c r="A385" s="3">
        <v>383</v>
      </c>
      <c r="B385" s="4">
        <v>45677</v>
      </c>
      <c r="C385" s="5">
        <v>0</v>
      </c>
      <c r="D385" s="5">
        <v>1589.06</v>
      </c>
      <c r="E385" s="5">
        <v>968.26</v>
      </c>
      <c r="F385" s="3" t="str">
        <f>IF(A385&lt;=[1]Assumptions!$B$4,"Commissioning",IF(A385&lt;=[1]Assumptions!$B$5,"Handover","Recommissioning"))</f>
        <v>Handover</v>
      </c>
      <c r="G385" s="6" t="str">
        <f t="shared" si="5"/>
        <v>2025-01</v>
      </c>
    </row>
    <row r="386" spans="1:7" x14ac:dyDescent="0.3">
      <c r="A386" s="3">
        <v>384</v>
      </c>
      <c r="B386" s="4">
        <v>45678</v>
      </c>
      <c r="C386" s="5">
        <v>0</v>
      </c>
      <c r="D386" s="5">
        <v>1678.84</v>
      </c>
      <c r="E386" s="5">
        <v>1002.04</v>
      </c>
      <c r="F386" s="3" t="str">
        <f>IF(A386&lt;=[1]Assumptions!$B$4,"Commissioning",IF(A386&lt;=[1]Assumptions!$B$5,"Handover","Recommissioning"))</f>
        <v>Handover</v>
      </c>
      <c r="G386" s="6" t="str">
        <f t="shared" si="5"/>
        <v>2025-01</v>
      </c>
    </row>
    <row r="387" spans="1:7" x14ac:dyDescent="0.3">
      <c r="A387" s="3">
        <v>385</v>
      </c>
      <c r="B387" s="4">
        <v>45679</v>
      </c>
      <c r="C387" s="5">
        <v>0</v>
      </c>
      <c r="D387" s="5">
        <v>1637.8</v>
      </c>
      <c r="E387" s="5">
        <v>977.29</v>
      </c>
      <c r="F387" s="3" t="str">
        <f>IF(A387&lt;=[1]Assumptions!$B$4,"Commissioning",IF(A387&lt;=[1]Assumptions!$B$5,"Handover","Recommissioning"))</f>
        <v>Handover</v>
      </c>
      <c r="G387" s="6" t="str">
        <f t="shared" ref="G387:G450" si="6">YEAR(B387)&amp;"-"&amp;TEXT(MONTH(B387),"00")</f>
        <v>2025-01</v>
      </c>
    </row>
    <row r="388" spans="1:7" x14ac:dyDescent="0.3">
      <c r="A388" s="3">
        <v>386</v>
      </c>
      <c r="B388" s="4">
        <v>45680</v>
      </c>
      <c r="C388" s="5">
        <v>0</v>
      </c>
      <c r="D388" s="5">
        <v>1639.81</v>
      </c>
      <c r="E388" s="5">
        <v>991.79</v>
      </c>
      <c r="F388" s="3" t="str">
        <f>IF(A388&lt;=[1]Assumptions!$B$4,"Commissioning",IF(A388&lt;=[1]Assumptions!$B$5,"Handover","Recommissioning"))</f>
        <v>Handover</v>
      </c>
      <c r="G388" s="6" t="str">
        <f t="shared" si="6"/>
        <v>2025-01</v>
      </c>
    </row>
    <row r="389" spans="1:7" x14ac:dyDescent="0.3">
      <c r="A389" s="3">
        <v>387</v>
      </c>
      <c r="B389" s="4">
        <v>45681</v>
      </c>
      <c r="C389" s="5">
        <v>0</v>
      </c>
      <c r="D389" s="5">
        <v>1713.44</v>
      </c>
      <c r="E389" s="5">
        <v>970.66</v>
      </c>
      <c r="F389" s="3" t="str">
        <f>IF(A389&lt;=[1]Assumptions!$B$4,"Commissioning",IF(A389&lt;=[1]Assumptions!$B$5,"Handover","Recommissioning"))</f>
        <v>Handover</v>
      </c>
      <c r="G389" s="6" t="str">
        <f t="shared" si="6"/>
        <v>2025-01</v>
      </c>
    </row>
    <row r="390" spans="1:7" x14ac:dyDescent="0.3">
      <c r="A390" s="3">
        <v>388</v>
      </c>
      <c r="B390" s="4">
        <v>45682</v>
      </c>
      <c r="C390" s="5">
        <v>0</v>
      </c>
      <c r="D390" s="5">
        <v>1696.2</v>
      </c>
      <c r="E390" s="5">
        <v>1007.24</v>
      </c>
      <c r="F390" s="3" t="str">
        <f>IF(A390&lt;=[1]Assumptions!$B$4,"Commissioning",IF(A390&lt;=[1]Assumptions!$B$5,"Handover","Recommissioning"))</f>
        <v>Handover</v>
      </c>
      <c r="G390" s="6" t="str">
        <f t="shared" si="6"/>
        <v>2025-01</v>
      </c>
    </row>
    <row r="391" spans="1:7" x14ac:dyDescent="0.3">
      <c r="A391" s="3">
        <v>389</v>
      </c>
      <c r="B391" s="4">
        <v>45683</v>
      </c>
      <c r="C391" s="5">
        <v>0</v>
      </c>
      <c r="D391" s="5">
        <v>1682.26</v>
      </c>
      <c r="E391" s="5">
        <v>1007.5</v>
      </c>
      <c r="F391" s="3" t="str">
        <f>IF(A391&lt;=[1]Assumptions!$B$4,"Commissioning",IF(A391&lt;=[1]Assumptions!$B$5,"Handover","Recommissioning"))</f>
        <v>Handover</v>
      </c>
      <c r="G391" s="6" t="str">
        <f t="shared" si="6"/>
        <v>2025-01</v>
      </c>
    </row>
    <row r="392" spans="1:7" x14ac:dyDescent="0.3">
      <c r="A392" s="3">
        <v>390</v>
      </c>
      <c r="B392" s="4">
        <v>45684</v>
      </c>
      <c r="C392" s="5">
        <v>0</v>
      </c>
      <c r="D392" s="5">
        <v>1631.85</v>
      </c>
      <c r="E392" s="5">
        <v>1003.59</v>
      </c>
      <c r="F392" s="3" t="str">
        <f>IF(A392&lt;=[1]Assumptions!$B$4,"Commissioning",IF(A392&lt;=[1]Assumptions!$B$5,"Handover","Recommissioning"))</f>
        <v>Handover</v>
      </c>
      <c r="G392" s="6" t="str">
        <f t="shared" si="6"/>
        <v>2025-01</v>
      </c>
    </row>
    <row r="393" spans="1:7" x14ac:dyDescent="0.3">
      <c r="A393" s="3">
        <v>391</v>
      </c>
      <c r="B393" s="4">
        <v>45685</v>
      </c>
      <c r="C393" s="5">
        <v>0</v>
      </c>
      <c r="D393" s="5">
        <v>1582.43</v>
      </c>
      <c r="E393" s="5">
        <v>966.05</v>
      </c>
      <c r="F393" s="3" t="str">
        <f>IF(A393&lt;=[1]Assumptions!$B$4,"Commissioning",IF(A393&lt;=[1]Assumptions!$B$5,"Handover","Recommissioning"))</f>
        <v>Handover</v>
      </c>
      <c r="G393" s="6" t="str">
        <f t="shared" si="6"/>
        <v>2025-01</v>
      </c>
    </row>
    <row r="394" spans="1:7" x14ac:dyDescent="0.3">
      <c r="A394" s="3">
        <v>392</v>
      </c>
      <c r="B394" s="4">
        <v>45686</v>
      </c>
      <c r="C394" s="5">
        <v>0</v>
      </c>
      <c r="D394" s="5">
        <v>1609.79</v>
      </c>
      <c r="E394" s="5">
        <v>983.01</v>
      </c>
      <c r="F394" s="3" t="str">
        <f>IF(A394&lt;=[1]Assumptions!$B$4,"Commissioning",IF(A394&lt;=[1]Assumptions!$B$5,"Handover","Recommissioning"))</f>
        <v>Handover</v>
      </c>
      <c r="G394" s="6" t="str">
        <f t="shared" si="6"/>
        <v>2025-01</v>
      </c>
    </row>
    <row r="395" spans="1:7" x14ac:dyDescent="0.3">
      <c r="A395" s="3">
        <v>393</v>
      </c>
      <c r="B395" s="4">
        <v>45687</v>
      </c>
      <c r="C395" s="5">
        <v>0</v>
      </c>
      <c r="D395" s="5">
        <v>1585.81</v>
      </c>
      <c r="E395" s="5">
        <v>990.94</v>
      </c>
      <c r="F395" s="3" t="str">
        <f>IF(A395&lt;=[1]Assumptions!$B$4,"Commissioning",IF(A395&lt;=[1]Assumptions!$B$5,"Handover","Recommissioning"))</f>
        <v>Handover</v>
      </c>
      <c r="G395" s="6" t="str">
        <f t="shared" si="6"/>
        <v>2025-01</v>
      </c>
    </row>
    <row r="396" spans="1:7" x14ac:dyDescent="0.3">
      <c r="A396" s="3">
        <v>394</v>
      </c>
      <c r="B396" s="4">
        <v>45688</v>
      </c>
      <c r="C396" s="5">
        <v>0</v>
      </c>
      <c r="D396" s="5">
        <v>1711.97</v>
      </c>
      <c r="E396" s="5">
        <v>1002.63</v>
      </c>
      <c r="F396" s="3" t="str">
        <f>IF(A396&lt;=[1]Assumptions!$B$4,"Commissioning",IF(A396&lt;=[1]Assumptions!$B$5,"Handover","Recommissioning"))</f>
        <v>Handover</v>
      </c>
      <c r="G396" s="6" t="str">
        <f t="shared" si="6"/>
        <v>2025-01</v>
      </c>
    </row>
    <row r="397" spans="1:7" x14ac:dyDescent="0.3">
      <c r="A397" s="3">
        <v>395</v>
      </c>
      <c r="B397" s="4">
        <v>45689</v>
      </c>
      <c r="C397" s="5">
        <v>0</v>
      </c>
      <c r="D397" s="5">
        <v>1584.11</v>
      </c>
      <c r="E397" s="5">
        <v>983.61</v>
      </c>
      <c r="F397" s="3" t="str">
        <f>IF(A397&lt;=[1]Assumptions!$B$4,"Commissioning",IF(A397&lt;=[1]Assumptions!$B$5,"Handover","Recommissioning"))</f>
        <v>Handover</v>
      </c>
      <c r="G397" s="6" t="str">
        <f t="shared" si="6"/>
        <v>2025-02</v>
      </c>
    </row>
    <row r="398" spans="1:7" x14ac:dyDescent="0.3">
      <c r="A398" s="3">
        <v>396</v>
      </c>
      <c r="B398" s="4">
        <v>45690</v>
      </c>
      <c r="C398" s="5">
        <v>0</v>
      </c>
      <c r="D398" s="5">
        <v>1691.75</v>
      </c>
      <c r="E398" s="5">
        <v>961.27</v>
      </c>
      <c r="F398" s="3" t="str">
        <f>IF(A398&lt;=[1]Assumptions!$B$4,"Commissioning",IF(A398&lt;=[1]Assumptions!$B$5,"Handover","Recommissioning"))</f>
        <v>Handover</v>
      </c>
      <c r="G398" s="6" t="str">
        <f t="shared" si="6"/>
        <v>2025-02</v>
      </c>
    </row>
    <row r="399" spans="1:7" x14ac:dyDescent="0.3">
      <c r="A399" s="3">
        <v>397</v>
      </c>
      <c r="B399" s="4">
        <v>45691</v>
      </c>
      <c r="C399" s="5">
        <v>0</v>
      </c>
      <c r="D399" s="5">
        <v>1618.29</v>
      </c>
      <c r="E399" s="5">
        <v>986.82</v>
      </c>
      <c r="F399" s="3" t="str">
        <f>IF(A399&lt;=[1]Assumptions!$B$4,"Commissioning",IF(A399&lt;=[1]Assumptions!$B$5,"Handover","Recommissioning"))</f>
        <v>Handover</v>
      </c>
      <c r="G399" s="6" t="str">
        <f t="shared" si="6"/>
        <v>2025-02</v>
      </c>
    </row>
    <row r="400" spans="1:7" x14ac:dyDescent="0.3">
      <c r="A400" s="3">
        <v>398</v>
      </c>
      <c r="B400" s="4">
        <v>45692</v>
      </c>
      <c r="C400" s="5">
        <v>308.5</v>
      </c>
      <c r="D400" s="5">
        <v>1621.81</v>
      </c>
      <c r="E400" s="5">
        <v>988.36</v>
      </c>
      <c r="F400" s="3" t="str">
        <f>IF(A400&lt;=[1]Assumptions!$B$4,"Commissioning",IF(A400&lt;=[1]Assumptions!$B$5,"Handover","Recommissioning"))</f>
        <v>Handover</v>
      </c>
      <c r="G400" s="6" t="str">
        <f t="shared" si="6"/>
        <v>2025-02</v>
      </c>
    </row>
    <row r="401" spans="1:7" x14ac:dyDescent="0.3">
      <c r="A401" s="3">
        <v>399</v>
      </c>
      <c r="B401" s="4">
        <v>45693</v>
      </c>
      <c r="C401" s="5">
        <v>247.61</v>
      </c>
      <c r="D401" s="5">
        <v>1713.69</v>
      </c>
      <c r="E401" s="5">
        <v>752.39</v>
      </c>
      <c r="F401" s="3" t="str">
        <f>IF(A401&lt;=[1]Assumptions!$B$4,"Commissioning",IF(A401&lt;=[1]Assumptions!$B$5,"Handover","Recommissioning"))</f>
        <v>Handover</v>
      </c>
      <c r="G401" s="6" t="str">
        <f t="shared" si="6"/>
        <v>2025-02</v>
      </c>
    </row>
    <row r="402" spans="1:7" x14ac:dyDescent="0.3">
      <c r="A402" s="3">
        <v>400</v>
      </c>
      <c r="B402" s="4">
        <v>45694</v>
      </c>
      <c r="C402" s="5">
        <v>0</v>
      </c>
      <c r="D402" s="5">
        <v>1611.45</v>
      </c>
      <c r="E402" s="5">
        <v>956.01</v>
      </c>
      <c r="F402" s="3" t="str">
        <f>IF(A402&lt;=[1]Assumptions!$B$4,"Commissioning",IF(A402&lt;=[1]Assumptions!$B$5,"Handover","Recommissioning"))</f>
        <v>Handover</v>
      </c>
      <c r="G402" s="6" t="str">
        <f t="shared" si="6"/>
        <v>2025-02</v>
      </c>
    </row>
    <row r="403" spans="1:7" x14ac:dyDescent="0.3">
      <c r="A403" s="3">
        <v>401</v>
      </c>
      <c r="B403" s="4">
        <v>45695</v>
      </c>
      <c r="C403" s="5">
        <v>0</v>
      </c>
      <c r="D403" s="5">
        <v>1692.14</v>
      </c>
      <c r="E403" s="5">
        <v>978.63</v>
      </c>
      <c r="F403" s="3" t="str">
        <f>IF(A403&lt;=[1]Assumptions!$B$4,"Commissioning",IF(A403&lt;=[1]Assumptions!$B$5,"Handover","Recommissioning"))</f>
        <v>Handover</v>
      </c>
      <c r="G403" s="6" t="str">
        <f t="shared" si="6"/>
        <v>2025-02</v>
      </c>
    </row>
    <row r="404" spans="1:7" x14ac:dyDescent="0.3">
      <c r="A404" s="3">
        <v>402</v>
      </c>
      <c r="B404" s="4">
        <v>45696</v>
      </c>
      <c r="C404" s="5">
        <v>0</v>
      </c>
      <c r="D404" s="5">
        <v>1571.06</v>
      </c>
      <c r="E404" s="5">
        <v>995.5</v>
      </c>
      <c r="F404" s="3" t="str">
        <f>IF(A404&lt;=[1]Assumptions!$B$4,"Commissioning",IF(A404&lt;=[1]Assumptions!$B$5,"Handover","Recommissioning"))</f>
        <v>Handover</v>
      </c>
      <c r="G404" s="6" t="str">
        <f t="shared" si="6"/>
        <v>2025-02</v>
      </c>
    </row>
    <row r="405" spans="1:7" x14ac:dyDescent="0.3">
      <c r="A405" s="3">
        <v>403</v>
      </c>
      <c r="B405" s="4">
        <v>45697</v>
      </c>
      <c r="C405" s="5">
        <v>0</v>
      </c>
      <c r="D405" s="5">
        <v>1575.95</v>
      </c>
      <c r="E405" s="5">
        <v>975.3</v>
      </c>
      <c r="F405" s="3" t="str">
        <f>IF(A405&lt;=[1]Assumptions!$B$4,"Commissioning",IF(A405&lt;=[1]Assumptions!$B$5,"Handover","Recommissioning"))</f>
        <v>Handover</v>
      </c>
      <c r="G405" s="6" t="str">
        <f t="shared" si="6"/>
        <v>2025-02</v>
      </c>
    </row>
    <row r="406" spans="1:7" x14ac:dyDescent="0.3">
      <c r="A406" s="3">
        <v>404</v>
      </c>
      <c r="B406" s="4">
        <v>45698</v>
      </c>
      <c r="C406" s="5">
        <v>0</v>
      </c>
      <c r="D406" s="5">
        <v>1558.75</v>
      </c>
      <c r="E406" s="5">
        <v>954.84</v>
      </c>
      <c r="F406" s="3" t="str">
        <f>IF(A406&lt;=[1]Assumptions!$B$4,"Commissioning",IF(A406&lt;=[1]Assumptions!$B$5,"Handover","Recommissioning"))</f>
        <v>Handover</v>
      </c>
      <c r="G406" s="6" t="str">
        <f t="shared" si="6"/>
        <v>2025-02</v>
      </c>
    </row>
    <row r="407" spans="1:7" x14ac:dyDescent="0.3">
      <c r="A407" s="3">
        <v>405</v>
      </c>
      <c r="B407" s="4">
        <v>45699</v>
      </c>
      <c r="C407" s="5">
        <v>470.44</v>
      </c>
      <c r="D407" s="5">
        <v>619.36</v>
      </c>
      <c r="E407" s="5">
        <v>529.55999999999995</v>
      </c>
      <c r="F407" s="3" t="str">
        <f>IF(A407&lt;=[1]Assumptions!$B$4,"Commissioning",IF(A407&lt;=[1]Assumptions!$B$5,"Handover","Recommissioning"))</f>
        <v>Handover</v>
      </c>
      <c r="G407" s="6" t="str">
        <f t="shared" si="6"/>
        <v>2025-02</v>
      </c>
    </row>
    <row r="408" spans="1:7" x14ac:dyDescent="0.3">
      <c r="A408" s="3">
        <v>406</v>
      </c>
      <c r="B408" s="4">
        <v>45700</v>
      </c>
      <c r="C408" s="5">
        <v>196.88</v>
      </c>
      <c r="D408" s="5">
        <v>932.55</v>
      </c>
      <c r="E408" s="5">
        <v>803.12</v>
      </c>
      <c r="F408" s="3" t="str">
        <f>IF(A408&lt;=[1]Assumptions!$B$4,"Commissioning",IF(A408&lt;=[1]Assumptions!$B$5,"Handover","Recommissioning"))</f>
        <v>Handover</v>
      </c>
      <c r="G408" s="6" t="str">
        <f t="shared" si="6"/>
        <v>2025-02</v>
      </c>
    </row>
    <row r="409" spans="1:7" x14ac:dyDescent="0.3">
      <c r="A409" s="3">
        <v>407</v>
      </c>
      <c r="B409" s="4">
        <v>45701</v>
      </c>
      <c r="C409" s="5">
        <v>815.75</v>
      </c>
      <c r="D409" s="5">
        <v>224.33</v>
      </c>
      <c r="E409" s="5">
        <v>184.25</v>
      </c>
      <c r="F409" s="3" t="str">
        <f>IF(A409&lt;=[1]Assumptions!$B$4,"Commissioning",IF(A409&lt;=[1]Assumptions!$B$5,"Handover","Recommissioning"))</f>
        <v>Handover</v>
      </c>
      <c r="G409" s="6" t="str">
        <f t="shared" si="6"/>
        <v>2025-02</v>
      </c>
    </row>
    <row r="410" spans="1:7" x14ac:dyDescent="0.3">
      <c r="A410" s="3">
        <v>408</v>
      </c>
      <c r="B410" s="4">
        <v>45702</v>
      </c>
      <c r="C410" s="5">
        <v>871.04</v>
      </c>
      <c r="D410" s="5">
        <v>164.72</v>
      </c>
      <c r="E410" s="5">
        <v>128.96</v>
      </c>
      <c r="F410" s="3" t="str">
        <f>IF(A410&lt;=[1]Assumptions!$B$4,"Commissioning",IF(A410&lt;=[1]Assumptions!$B$5,"Handover","Recommissioning"))</f>
        <v>Handover</v>
      </c>
      <c r="G410" s="6" t="str">
        <f t="shared" si="6"/>
        <v>2025-02</v>
      </c>
    </row>
    <row r="411" spans="1:7" x14ac:dyDescent="0.3">
      <c r="A411" s="3">
        <v>409</v>
      </c>
      <c r="B411" s="4">
        <v>45703</v>
      </c>
      <c r="C411" s="5">
        <v>582.80999999999995</v>
      </c>
      <c r="D411" s="5">
        <v>536.44000000000005</v>
      </c>
      <c r="E411" s="5">
        <v>417.19</v>
      </c>
      <c r="F411" s="3" t="str">
        <f>IF(A411&lt;=[1]Assumptions!$B$4,"Commissioning",IF(A411&lt;=[1]Assumptions!$B$5,"Handover","Recommissioning"))</f>
        <v>Handover</v>
      </c>
      <c r="G411" s="6" t="str">
        <f t="shared" si="6"/>
        <v>2025-02</v>
      </c>
    </row>
    <row r="412" spans="1:7" x14ac:dyDescent="0.3">
      <c r="A412" s="3">
        <v>410</v>
      </c>
      <c r="B412" s="4">
        <v>45704</v>
      </c>
      <c r="C412" s="5">
        <v>604.88</v>
      </c>
      <c r="D412" s="5">
        <v>504.49</v>
      </c>
      <c r="E412" s="5">
        <v>395.12</v>
      </c>
      <c r="F412" s="3" t="str">
        <f>IF(A412&lt;=[1]Assumptions!$B$4,"Commissioning",IF(A412&lt;=[1]Assumptions!$B$5,"Handover","Recommissioning"))</f>
        <v>Handover</v>
      </c>
      <c r="G412" s="6" t="str">
        <f t="shared" si="6"/>
        <v>2025-02</v>
      </c>
    </row>
    <row r="413" spans="1:7" x14ac:dyDescent="0.3">
      <c r="A413" s="3">
        <v>411</v>
      </c>
      <c r="B413" s="4">
        <v>45705</v>
      </c>
      <c r="C413" s="5">
        <v>583.14</v>
      </c>
      <c r="D413" s="5">
        <v>473.86</v>
      </c>
      <c r="E413" s="5">
        <v>416.86</v>
      </c>
      <c r="F413" s="3" t="str">
        <f>IF(A413&lt;=[1]Assumptions!$B$4,"Commissioning",IF(A413&lt;=[1]Assumptions!$B$5,"Handover","Recommissioning"))</f>
        <v>Handover</v>
      </c>
      <c r="G413" s="6" t="str">
        <f t="shared" si="6"/>
        <v>2025-02</v>
      </c>
    </row>
    <row r="414" spans="1:7" x14ac:dyDescent="0.3">
      <c r="A414" s="3">
        <v>412</v>
      </c>
      <c r="B414" s="4">
        <v>45706</v>
      </c>
      <c r="C414" s="5">
        <v>577.54</v>
      </c>
      <c r="D414" s="5">
        <v>496.13</v>
      </c>
      <c r="E414" s="5">
        <v>422.46</v>
      </c>
      <c r="F414" s="3" t="str">
        <f>IF(A414&lt;=[1]Assumptions!$B$4,"Commissioning",IF(A414&lt;=[1]Assumptions!$B$5,"Handover","Recommissioning"))</f>
        <v>Handover</v>
      </c>
      <c r="G414" s="6" t="str">
        <f t="shared" si="6"/>
        <v>2025-02</v>
      </c>
    </row>
    <row r="415" spans="1:7" x14ac:dyDescent="0.3">
      <c r="A415" s="3">
        <v>413</v>
      </c>
      <c r="B415" s="4">
        <v>45707</v>
      </c>
      <c r="C415" s="5">
        <v>571.48</v>
      </c>
      <c r="D415" s="5">
        <v>654.23</v>
      </c>
      <c r="E415" s="5">
        <v>428.52</v>
      </c>
      <c r="F415" s="3" t="str">
        <f>IF(A415&lt;=[1]Assumptions!$B$4,"Commissioning",IF(A415&lt;=[1]Assumptions!$B$5,"Handover","Recommissioning"))</f>
        <v>Handover</v>
      </c>
      <c r="G415" s="6" t="str">
        <f t="shared" si="6"/>
        <v>2025-02</v>
      </c>
    </row>
    <row r="416" spans="1:7" x14ac:dyDescent="0.3">
      <c r="A416" s="3">
        <v>414</v>
      </c>
      <c r="B416" s="4">
        <v>45708</v>
      </c>
      <c r="C416" s="5">
        <v>0</v>
      </c>
      <c r="D416" s="5">
        <v>1649.27</v>
      </c>
      <c r="E416" s="5">
        <v>985.41</v>
      </c>
      <c r="F416" s="3" t="str">
        <f>IF(A416&lt;=[1]Assumptions!$B$4,"Commissioning",IF(A416&lt;=[1]Assumptions!$B$5,"Handover","Recommissioning"))</f>
        <v>Handover</v>
      </c>
      <c r="G416" s="6" t="str">
        <f t="shared" si="6"/>
        <v>2025-02</v>
      </c>
    </row>
    <row r="417" spans="1:7" x14ac:dyDescent="0.3">
      <c r="A417" s="3">
        <v>415</v>
      </c>
      <c r="B417" s="4">
        <v>45709</v>
      </c>
      <c r="C417" s="5">
        <v>0</v>
      </c>
      <c r="D417" s="5">
        <v>1656.04</v>
      </c>
      <c r="E417" s="5">
        <v>999.54</v>
      </c>
      <c r="F417" s="3" t="str">
        <f>IF(A417&lt;=[1]Assumptions!$B$4,"Commissioning",IF(A417&lt;=[1]Assumptions!$B$5,"Handover","Recommissioning"))</f>
        <v>Handover</v>
      </c>
      <c r="G417" s="6" t="str">
        <f t="shared" si="6"/>
        <v>2025-02</v>
      </c>
    </row>
    <row r="418" spans="1:7" x14ac:dyDescent="0.3">
      <c r="A418" s="3">
        <v>416</v>
      </c>
      <c r="B418" s="4">
        <v>45710</v>
      </c>
      <c r="C418" s="5">
        <v>0</v>
      </c>
      <c r="D418" s="5">
        <v>1657.73</v>
      </c>
      <c r="E418" s="5">
        <v>956.09</v>
      </c>
      <c r="F418" s="3" t="str">
        <f>IF(A418&lt;=[1]Assumptions!$B$4,"Commissioning",IF(A418&lt;=[1]Assumptions!$B$5,"Handover","Recommissioning"))</f>
        <v>Handover</v>
      </c>
      <c r="G418" s="6" t="str">
        <f t="shared" si="6"/>
        <v>2025-02</v>
      </c>
    </row>
    <row r="419" spans="1:7" x14ac:dyDescent="0.3">
      <c r="A419" s="3">
        <v>417</v>
      </c>
      <c r="B419" s="4">
        <v>45711</v>
      </c>
      <c r="C419" s="5">
        <v>299.10000000000002</v>
      </c>
      <c r="D419" s="5">
        <v>1708.14</v>
      </c>
      <c r="E419" s="5">
        <v>700.9</v>
      </c>
      <c r="F419" s="3" t="str">
        <f>IF(A419&lt;=[1]Assumptions!$B$4,"Commissioning",IF(A419&lt;=[1]Assumptions!$B$5,"Handover","Recommissioning"))</f>
        <v>Handover</v>
      </c>
      <c r="G419" s="6" t="str">
        <f t="shared" si="6"/>
        <v>2025-02</v>
      </c>
    </row>
    <row r="420" spans="1:7" x14ac:dyDescent="0.3">
      <c r="A420" s="3">
        <v>418</v>
      </c>
      <c r="B420" s="4">
        <v>45712</v>
      </c>
      <c r="C420" s="5">
        <v>676.12</v>
      </c>
      <c r="D420" s="5">
        <v>383.063276167948</v>
      </c>
      <c r="E420" s="5">
        <v>323.88</v>
      </c>
      <c r="F420" s="3" t="str">
        <f>IF(A420&lt;=[1]Assumptions!$B$4,"Commissioning",IF(A420&lt;=[1]Assumptions!$B$5,"Handover","Recommissioning"))</f>
        <v>Handover</v>
      </c>
      <c r="G420" s="6" t="str">
        <f t="shared" si="6"/>
        <v>2025-02</v>
      </c>
    </row>
    <row r="421" spans="1:7" x14ac:dyDescent="0.3">
      <c r="A421" s="3">
        <v>419</v>
      </c>
      <c r="B421" s="4">
        <v>45713</v>
      </c>
      <c r="C421" s="5">
        <v>234.17</v>
      </c>
      <c r="D421" s="5">
        <v>925.13892244503495</v>
      </c>
      <c r="E421" s="5">
        <v>765.83</v>
      </c>
      <c r="F421" s="3" t="str">
        <f>IF(A421&lt;=[1]Assumptions!$B$4,"Commissioning",IF(A421&lt;=[1]Assumptions!$B$5,"Handover","Recommissioning"))</f>
        <v>Handover</v>
      </c>
      <c r="G421" s="6" t="str">
        <f t="shared" si="6"/>
        <v>2025-02</v>
      </c>
    </row>
    <row r="422" spans="1:7" x14ac:dyDescent="0.3">
      <c r="A422" s="3">
        <v>420</v>
      </c>
      <c r="B422" s="4">
        <v>45714</v>
      </c>
      <c r="C422" s="5">
        <v>861.03</v>
      </c>
      <c r="D422" s="5">
        <v>175.35646687697201</v>
      </c>
      <c r="E422" s="5">
        <v>138.97</v>
      </c>
      <c r="F422" s="3" t="str">
        <f>IF(A422&lt;=[1]Assumptions!$B$4,"Commissioning",IF(A422&lt;=[1]Assumptions!$B$5,"Handover","Recommissioning"))</f>
        <v>Handover</v>
      </c>
      <c r="G422" s="6" t="str">
        <f t="shared" si="6"/>
        <v>2025-02</v>
      </c>
    </row>
    <row r="423" spans="1:7" x14ac:dyDescent="0.3">
      <c r="A423" s="3">
        <v>421</v>
      </c>
      <c r="B423" s="4">
        <v>45715</v>
      </c>
      <c r="C423" s="5">
        <v>1013.48</v>
      </c>
      <c r="D423" s="5">
        <v>0</v>
      </c>
      <c r="E423" s="5">
        <v>0</v>
      </c>
      <c r="F423" s="3" t="str">
        <f>IF(A423&lt;=[1]Assumptions!$B$4,"Commissioning",IF(A423&lt;=[1]Assumptions!$B$5,"Handover","Recommissioning"))</f>
        <v>Handover</v>
      </c>
      <c r="G423" s="6" t="str">
        <f t="shared" si="6"/>
        <v>2025-02</v>
      </c>
    </row>
    <row r="424" spans="1:7" x14ac:dyDescent="0.3">
      <c r="A424" s="3">
        <v>422</v>
      </c>
      <c r="B424" s="4">
        <v>45716</v>
      </c>
      <c r="C424" s="5">
        <v>1008.94</v>
      </c>
      <c r="D424" s="5">
        <v>0</v>
      </c>
      <c r="E424" s="5">
        <v>0</v>
      </c>
      <c r="F424" s="3" t="str">
        <f>IF(A424&lt;=[1]Assumptions!$B$4,"Commissioning",IF(A424&lt;=[1]Assumptions!$B$5,"Handover","Recommissioning"))</f>
        <v>Handover</v>
      </c>
      <c r="G424" s="6" t="str">
        <f t="shared" si="6"/>
        <v>2025-02</v>
      </c>
    </row>
    <row r="425" spans="1:7" x14ac:dyDescent="0.3">
      <c r="A425" s="3">
        <v>423</v>
      </c>
      <c r="B425" s="4">
        <v>45717</v>
      </c>
      <c r="C425" s="5">
        <v>758.93</v>
      </c>
      <c r="D425" s="5">
        <v>307.84063338015602</v>
      </c>
      <c r="E425" s="5">
        <v>241.07</v>
      </c>
      <c r="F425" s="3" t="str">
        <f>IF(A425&lt;=[1]Assumptions!$B$4,"Commissioning",IF(A425&lt;=[1]Assumptions!$B$5,"Handover","Recommissioning"))</f>
        <v>Handover</v>
      </c>
      <c r="G425" s="6" t="str">
        <f t="shared" si="6"/>
        <v>2025-03</v>
      </c>
    </row>
    <row r="426" spans="1:7" x14ac:dyDescent="0.3">
      <c r="A426" s="3">
        <v>424</v>
      </c>
      <c r="B426" s="4">
        <v>45718</v>
      </c>
      <c r="C426" s="5">
        <v>493.87</v>
      </c>
      <c r="D426" s="5">
        <v>651.64156044804895</v>
      </c>
      <c r="E426" s="5">
        <v>506.13</v>
      </c>
      <c r="F426" s="3" t="str">
        <f>IF(A426&lt;=[1]Assumptions!$B$4,"Commissioning",IF(A426&lt;=[1]Assumptions!$B$5,"Handover","Recommissioning"))</f>
        <v>Handover</v>
      </c>
      <c r="G426" s="6" t="str">
        <f t="shared" si="6"/>
        <v>2025-03</v>
      </c>
    </row>
    <row r="427" spans="1:7" x14ac:dyDescent="0.3">
      <c r="A427" s="3">
        <v>425</v>
      </c>
      <c r="B427" s="4">
        <v>45719</v>
      </c>
      <c r="C427" s="5">
        <v>206.14</v>
      </c>
      <c r="D427" s="5">
        <v>946.76207513416796</v>
      </c>
      <c r="E427" s="5">
        <v>793.86</v>
      </c>
      <c r="F427" s="3" t="str">
        <f>IF(A427&lt;=[1]Assumptions!$B$4,"Commissioning",IF(A427&lt;=[1]Assumptions!$B$5,"Handover","Recommissioning"))</f>
        <v>Handover</v>
      </c>
      <c r="G427" s="6" t="str">
        <f t="shared" si="6"/>
        <v>2025-03</v>
      </c>
    </row>
    <row r="428" spans="1:7" x14ac:dyDescent="0.3">
      <c r="A428" s="3">
        <v>426</v>
      </c>
      <c r="B428" s="4">
        <v>45720</v>
      </c>
      <c r="C428" s="5">
        <v>544.55999999999995</v>
      </c>
      <c r="D428" s="5">
        <v>569.01549225387305</v>
      </c>
      <c r="E428" s="5">
        <v>455.44</v>
      </c>
      <c r="F428" s="3" t="str">
        <f>IF(A428&lt;=[1]Assumptions!$B$4,"Commissioning",IF(A428&lt;=[1]Assumptions!$B$5,"Handover","Recommissioning"))</f>
        <v>Handover</v>
      </c>
      <c r="G428" s="6" t="str">
        <f t="shared" si="6"/>
        <v>2025-03</v>
      </c>
    </row>
    <row r="429" spans="1:7" x14ac:dyDescent="0.3">
      <c r="A429" s="3">
        <v>427</v>
      </c>
      <c r="B429" s="4">
        <v>45721</v>
      </c>
      <c r="C429" s="5">
        <v>745.13</v>
      </c>
      <c r="D429" s="5">
        <v>295.77579203899302</v>
      </c>
      <c r="E429" s="5">
        <v>254.87</v>
      </c>
      <c r="F429" s="3" t="str">
        <f>IF(A429&lt;=[1]Assumptions!$B$4,"Commissioning",IF(A429&lt;=[1]Assumptions!$B$5,"Handover","Recommissioning"))</f>
        <v>Handover</v>
      </c>
      <c r="G429" s="6" t="str">
        <f t="shared" si="6"/>
        <v>2025-03</v>
      </c>
    </row>
    <row r="430" spans="1:7" x14ac:dyDescent="0.3">
      <c r="A430" s="3">
        <v>428</v>
      </c>
      <c r="B430" s="4">
        <v>45722</v>
      </c>
      <c r="C430" s="5">
        <v>939.43</v>
      </c>
      <c r="D430" s="5">
        <v>74.713210805476805</v>
      </c>
      <c r="E430" s="5">
        <v>60.5700000000001</v>
      </c>
      <c r="F430" s="3" t="str">
        <f>IF(A430&lt;=[1]Assumptions!$B$4,"Commissioning",IF(A430&lt;=[1]Assumptions!$B$5,"Handover","Recommissioning"))</f>
        <v>Handover</v>
      </c>
      <c r="G430" s="6" t="str">
        <f t="shared" si="6"/>
        <v>2025-03</v>
      </c>
    </row>
    <row r="431" spans="1:7" x14ac:dyDescent="0.3">
      <c r="A431" s="3">
        <v>429</v>
      </c>
      <c r="B431" s="4">
        <v>45723</v>
      </c>
      <c r="C431" s="5">
        <v>989.18</v>
      </c>
      <c r="D431" s="5">
        <v>12.6608939854904</v>
      </c>
      <c r="E431" s="5">
        <v>10.8200000000001</v>
      </c>
      <c r="F431" s="3" t="str">
        <f>IF(A431&lt;=[1]Assumptions!$B$4,"Commissioning",IF(A431&lt;=[1]Assumptions!$B$5,"Handover","Recommissioning"))</f>
        <v>Handover</v>
      </c>
      <c r="G431" s="6" t="str">
        <f t="shared" si="6"/>
        <v>2025-03</v>
      </c>
    </row>
    <row r="432" spans="1:7" x14ac:dyDescent="0.3">
      <c r="A432" s="3">
        <v>430</v>
      </c>
      <c r="B432" s="4">
        <v>45724</v>
      </c>
      <c r="C432" s="5">
        <v>802.3</v>
      </c>
      <c r="D432" s="5">
        <v>237.07878642523099</v>
      </c>
      <c r="E432" s="5">
        <v>197.7</v>
      </c>
      <c r="F432" s="3" t="str">
        <f>IF(A432&lt;=[1]Assumptions!$B$4,"Commissioning",IF(A432&lt;=[1]Assumptions!$B$5,"Handover","Recommissioning"))</f>
        <v>Handover</v>
      </c>
      <c r="G432" s="6" t="str">
        <f t="shared" si="6"/>
        <v>2025-03</v>
      </c>
    </row>
    <row r="433" spans="1:7" x14ac:dyDescent="0.3">
      <c r="A433" s="3">
        <v>431</v>
      </c>
      <c r="B433" s="4">
        <v>45725</v>
      </c>
      <c r="C433" s="5">
        <v>761.98</v>
      </c>
      <c r="D433" s="5">
        <v>284.101217474338</v>
      </c>
      <c r="E433" s="5">
        <v>238.02</v>
      </c>
      <c r="F433" s="3" t="str">
        <f>IF(A433&lt;=[1]Assumptions!$B$4,"Commissioning",IF(A433&lt;=[1]Assumptions!$B$5,"Handover","Recommissioning"))</f>
        <v>Handover</v>
      </c>
      <c r="G433" s="6" t="str">
        <f t="shared" si="6"/>
        <v>2025-03</v>
      </c>
    </row>
    <row r="434" spans="1:7" x14ac:dyDescent="0.3">
      <c r="A434" s="3">
        <v>432</v>
      </c>
      <c r="B434" s="4">
        <v>45726</v>
      </c>
      <c r="C434" s="5">
        <v>870.06</v>
      </c>
      <c r="D434" s="5">
        <v>161.556633097103</v>
      </c>
      <c r="E434" s="5">
        <v>129.94</v>
      </c>
      <c r="F434" s="3" t="str">
        <f>IF(A434&lt;=[1]Assumptions!$B$4,"Commissioning",IF(A434&lt;=[1]Assumptions!$B$5,"Handover","Recommissioning"))</f>
        <v>Handover</v>
      </c>
      <c r="G434" s="6" t="str">
        <f t="shared" si="6"/>
        <v>2025-03</v>
      </c>
    </row>
    <row r="435" spans="1:7" x14ac:dyDescent="0.3">
      <c r="A435" s="3">
        <v>433</v>
      </c>
      <c r="B435" s="4">
        <v>45727</v>
      </c>
      <c r="C435" s="5">
        <v>687.98</v>
      </c>
      <c r="D435" s="5">
        <v>402.34687298517099</v>
      </c>
      <c r="E435" s="5">
        <v>312.02</v>
      </c>
      <c r="F435" s="3" t="str">
        <f>IF(A435&lt;=[1]Assumptions!$B$4,"Commissioning",IF(A435&lt;=[1]Assumptions!$B$5,"Handover","Recommissioning"))</f>
        <v>Handover</v>
      </c>
      <c r="G435" s="6" t="str">
        <f t="shared" si="6"/>
        <v>2025-03</v>
      </c>
    </row>
    <row r="436" spans="1:7" x14ac:dyDescent="0.3">
      <c r="A436" s="3">
        <v>434</v>
      </c>
      <c r="B436" s="4">
        <v>45728</v>
      </c>
      <c r="C436" s="5">
        <v>691.23</v>
      </c>
      <c r="D436" s="5">
        <v>359.62031213603501</v>
      </c>
      <c r="E436" s="5">
        <v>308.77</v>
      </c>
      <c r="F436" s="3" t="str">
        <f>IF(A436&lt;=[1]Assumptions!$B$4,"Commissioning",IF(A436&lt;=[1]Assumptions!$B$5,"Handover","Recommissioning"))</f>
        <v>Handover</v>
      </c>
      <c r="G436" s="6" t="str">
        <f t="shared" si="6"/>
        <v>2025-03</v>
      </c>
    </row>
    <row r="437" spans="1:7" x14ac:dyDescent="0.3">
      <c r="A437" s="3">
        <v>435</v>
      </c>
      <c r="B437" s="4">
        <v>45729</v>
      </c>
      <c r="C437" s="5">
        <v>1043.51</v>
      </c>
      <c r="D437" s="5">
        <v>0</v>
      </c>
      <c r="E437" s="5">
        <v>0</v>
      </c>
      <c r="F437" s="3" t="str">
        <f>IF(A437&lt;=[1]Assumptions!$B$4,"Commissioning",IF(A437&lt;=[1]Assumptions!$B$5,"Handover","Recommissioning"))</f>
        <v>Handover</v>
      </c>
      <c r="G437" s="6" t="str">
        <f t="shared" si="6"/>
        <v>2025-03</v>
      </c>
    </row>
    <row r="438" spans="1:7" x14ac:dyDescent="0.3">
      <c r="A438" s="3">
        <v>436</v>
      </c>
      <c r="B438" s="4">
        <v>45730</v>
      </c>
      <c r="C438" s="5">
        <v>892.86</v>
      </c>
      <c r="D438" s="5">
        <v>138.33440929631999</v>
      </c>
      <c r="E438" s="5">
        <v>107.14</v>
      </c>
      <c r="F438" s="3" t="str">
        <f>IF(A438&lt;=[1]Assumptions!$B$4,"Commissioning",IF(A438&lt;=[1]Assumptions!$B$5,"Handover","Recommissioning"))</f>
        <v>Handover</v>
      </c>
      <c r="G438" s="6" t="str">
        <f t="shared" si="6"/>
        <v>2025-03</v>
      </c>
    </row>
    <row r="439" spans="1:7" x14ac:dyDescent="0.3">
      <c r="A439" s="3">
        <v>437</v>
      </c>
      <c r="B439" s="4">
        <v>45731</v>
      </c>
      <c r="C439" s="5">
        <v>883.54</v>
      </c>
      <c r="D439" s="5">
        <v>132.10072595281301</v>
      </c>
      <c r="E439" s="5">
        <v>116.46</v>
      </c>
      <c r="F439" s="3" t="str">
        <f>IF(A439&lt;=[1]Assumptions!$B$4,"Commissioning",IF(A439&lt;=[1]Assumptions!$B$5,"Handover","Recommissioning"))</f>
        <v>Handover</v>
      </c>
      <c r="G439" s="6" t="str">
        <f t="shared" si="6"/>
        <v>2025-03</v>
      </c>
    </row>
    <row r="440" spans="1:7" x14ac:dyDescent="0.3">
      <c r="A440" s="3">
        <v>438</v>
      </c>
      <c r="B440" s="4">
        <v>45732</v>
      </c>
      <c r="C440" s="5">
        <v>892.68</v>
      </c>
      <c r="D440" s="5">
        <v>128.20451558953499</v>
      </c>
      <c r="E440" s="5">
        <v>107.32</v>
      </c>
      <c r="F440" s="3" t="str">
        <f>IF(A440&lt;=[1]Assumptions!$B$4,"Commissioning",IF(A440&lt;=[1]Assumptions!$B$5,"Handover","Recommissioning"))</f>
        <v>Handover</v>
      </c>
      <c r="G440" s="6" t="str">
        <f t="shared" si="6"/>
        <v>2025-03</v>
      </c>
    </row>
    <row r="441" spans="1:7" x14ac:dyDescent="0.3">
      <c r="A441" s="3">
        <v>439</v>
      </c>
      <c r="B441" s="4">
        <v>45733</v>
      </c>
      <c r="C441" s="5">
        <v>1004.73</v>
      </c>
      <c r="D441" s="5">
        <v>0</v>
      </c>
      <c r="E441" s="5">
        <v>0</v>
      </c>
      <c r="F441" s="3" t="str">
        <f>IF(A441&lt;=[1]Assumptions!$B$4,"Commissioning",IF(A441&lt;=[1]Assumptions!$B$5,"Handover","Recommissioning"))</f>
        <v>Handover</v>
      </c>
      <c r="G441" s="6" t="str">
        <f t="shared" si="6"/>
        <v>2025-03</v>
      </c>
    </row>
    <row r="442" spans="1:7" x14ac:dyDescent="0.3">
      <c r="A442" s="3">
        <v>440</v>
      </c>
      <c r="B442" s="4">
        <v>45734</v>
      </c>
      <c r="C442" s="5">
        <v>981.02</v>
      </c>
      <c r="D442" s="5">
        <v>21.781042001377099</v>
      </c>
      <c r="E442" s="5">
        <v>18.98</v>
      </c>
      <c r="F442" s="3" t="str">
        <f>IF(A442&lt;=[1]Assumptions!$B$4,"Commissioning",IF(A442&lt;=[1]Assumptions!$B$5,"Handover","Recommissioning"))</f>
        <v>Handover</v>
      </c>
      <c r="G442" s="6" t="str">
        <f t="shared" si="6"/>
        <v>2025-03</v>
      </c>
    </row>
    <row r="443" spans="1:7" x14ac:dyDescent="0.3">
      <c r="A443" s="3">
        <v>441</v>
      </c>
      <c r="B443" s="4">
        <v>45735</v>
      </c>
      <c r="C443" s="5">
        <v>911</v>
      </c>
      <c r="D443" s="5">
        <v>112.02013845185699</v>
      </c>
      <c r="E443" s="5">
        <v>89</v>
      </c>
      <c r="F443" s="3" t="str">
        <f>IF(A443&lt;=[1]Assumptions!$B$4,"Commissioning",IF(A443&lt;=[1]Assumptions!$B$5,"Handover","Recommissioning"))</f>
        <v>Handover</v>
      </c>
      <c r="G443" s="6" t="str">
        <f t="shared" si="6"/>
        <v>2025-03</v>
      </c>
    </row>
    <row r="444" spans="1:7" x14ac:dyDescent="0.3">
      <c r="A444" s="3">
        <v>442</v>
      </c>
      <c r="B444" s="4">
        <v>45736</v>
      </c>
      <c r="C444" s="5">
        <v>781.97</v>
      </c>
      <c r="D444" s="5">
        <v>271.04674291397299</v>
      </c>
      <c r="E444" s="5">
        <v>218.03</v>
      </c>
      <c r="F444" s="3" t="str">
        <f>IF(A444&lt;=[1]Assumptions!$B$4,"Commissioning",IF(A444&lt;=[1]Assumptions!$B$5,"Handover","Recommissioning"))</f>
        <v>Handover</v>
      </c>
      <c r="G444" s="6" t="str">
        <f t="shared" si="6"/>
        <v>2025-03</v>
      </c>
    </row>
    <row r="445" spans="1:7" x14ac:dyDescent="0.3">
      <c r="A445" s="3">
        <v>443</v>
      </c>
      <c r="B445" s="4">
        <v>45737</v>
      </c>
      <c r="C445" s="5">
        <v>295.75</v>
      </c>
      <c r="D445" s="5">
        <v>824.84188334504597</v>
      </c>
      <c r="E445" s="5">
        <v>704.25</v>
      </c>
      <c r="F445" s="3" t="str">
        <f>IF(A445&lt;=[1]Assumptions!$B$4,"Commissioning",IF(A445&lt;=[1]Assumptions!$B$5,"Handover","Recommissioning"))</f>
        <v>Handover</v>
      </c>
      <c r="G445" s="6" t="str">
        <f t="shared" si="6"/>
        <v>2025-03</v>
      </c>
    </row>
    <row r="446" spans="1:7" x14ac:dyDescent="0.3">
      <c r="A446" s="3">
        <v>444</v>
      </c>
      <c r="B446" s="4">
        <v>45738</v>
      </c>
      <c r="C446" s="5">
        <v>764.02</v>
      </c>
      <c r="D446" s="5">
        <v>267.49036499660002</v>
      </c>
      <c r="E446" s="5">
        <v>235.98</v>
      </c>
      <c r="F446" s="3" t="str">
        <f>IF(A446&lt;=[1]Assumptions!$B$4,"Commissioning",IF(A446&lt;=[1]Assumptions!$B$5,"Handover","Recommissioning"))</f>
        <v>Handover</v>
      </c>
      <c r="G446" s="6" t="str">
        <f t="shared" si="6"/>
        <v>2025-03</v>
      </c>
    </row>
    <row r="447" spans="1:7" x14ac:dyDescent="0.3">
      <c r="A447" s="3">
        <v>445</v>
      </c>
      <c r="B447" s="4">
        <v>45739</v>
      </c>
      <c r="C447" s="5">
        <v>770.28</v>
      </c>
      <c r="D447" s="5">
        <v>272.98871063577002</v>
      </c>
      <c r="E447" s="5">
        <v>229.72</v>
      </c>
      <c r="F447" s="3" t="str">
        <f>IF(A447&lt;=[1]Assumptions!$B$4,"Commissioning",IF(A447&lt;=[1]Assumptions!$B$5,"Handover","Recommissioning"))</f>
        <v>Handover</v>
      </c>
      <c r="G447" s="6" t="str">
        <f t="shared" si="6"/>
        <v>2025-03</v>
      </c>
    </row>
    <row r="448" spans="1:7" x14ac:dyDescent="0.3">
      <c r="A448" s="3">
        <v>446</v>
      </c>
      <c r="B448" s="4">
        <v>45740</v>
      </c>
      <c r="C448" s="5">
        <v>837.98</v>
      </c>
      <c r="D448" s="5">
        <v>196.24515503876</v>
      </c>
      <c r="E448" s="5">
        <v>162.02000000000001</v>
      </c>
      <c r="F448" s="3" t="str">
        <f>IF(A448&lt;=[1]Assumptions!$B$4,"Commissioning",IF(A448&lt;=[1]Assumptions!$B$5,"Handover","Recommissioning"))</f>
        <v>Handover</v>
      </c>
      <c r="G448" s="6" t="str">
        <f t="shared" si="6"/>
        <v>2025-03</v>
      </c>
    </row>
    <row r="449" spans="1:7" x14ac:dyDescent="0.3">
      <c r="A449" s="3">
        <v>447</v>
      </c>
      <c r="B449" s="4">
        <v>45741</v>
      </c>
      <c r="C449" s="5">
        <v>769.98</v>
      </c>
      <c r="D449" s="5">
        <v>290.39262719353599</v>
      </c>
      <c r="E449" s="5">
        <v>230.02</v>
      </c>
      <c r="F449" s="3" t="str">
        <f>IF(A449&lt;=[1]Assumptions!$B$4,"Commissioning",IF(A449&lt;=[1]Assumptions!$B$5,"Handover","Recommissioning"))</f>
        <v>Handover</v>
      </c>
      <c r="G449" s="6" t="str">
        <f t="shared" si="6"/>
        <v>2025-03</v>
      </c>
    </row>
    <row r="450" spans="1:7" x14ac:dyDescent="0.3">
      <c r="A450" s="3">
        <v>448</v>
      </c>
      <c r="B450" s="4">
        <v>45742</v>
      </c>
      <c r="C450" s="5">
        <v>735.58</v>
      </c>
      <c r="D450" s="5">
        <v>331.93572683906598</v>
      </c>
      <c r="E450" s="5">
        <v>264.42</v>
      </c>
      <c r="F450" s="3" t="str">
        <f>IF(A450&lt;=[1]Assumptions!$B$4,"Commissioning",IF(A450&lt;=[1]Assumptions!$B$5,"Handover","Recommissioning"))</f>
        <v>Handover</v>
      </c>
      <c r="G450" s="6" t="str">
        <f t="shared" si="6"/>
        <v>2025-03</v>
      </c>
    </row>
    <row r="451" spans="1:7" x14ac:dyDescent="0.3">
      <c r="A451" s="3">
        <v>449</v>
      </c>
      <c r="B451" s="4">
        <v>45743</v>
      </c>
      <c r="C451" s="5">
        <v>570.67999999999995</v>
      </c>
      <c r="D451" s="5">
        <v>552.10905349794302</v>
      </c>
      <c r="E451" s="5">
        <v>429.32</v>
      </c>
      <c r="F451" s="3" t="str">
        <f>IF(A451&lt;=[1]Assumptions!$B$4,"Commissioning",IF(A451&lt;=[1]Assumptions!$B$5,"Handover","Recommissioning"))</f>
        <v>Handover</v>
      </c>
      <c r="G451" s="6" t="str">
        <f t="shared" ref="G451:G514" si="7">YEAR(B451)&amp;"-"&amp;TEXT(MONTH(B451),"00")</f>
        <v>2025-03</v>
      </c>
    </row>
    <row r="452" spans="1:7" x14ac:dyDescent="0.3">
      <c r="A452" s="3">
        <v>450</v>
      </c>
      <c r="B452" s="4">
        <v>45744</v>
      </c>
      <c r="C452" s="5">
        <v>669.79</v>
      </c>
      <c r="D452" s="5">
        <v>411.27164030389798</v>
      </c>
      <c r="E452" s="5">
        <v>330.21</v>
      </c>
      <c r="F452" s="3" t="str">
        <f>IF(A452&lt;=[1]Assumptions!$B$4,"Commissioning",IF(A452&lt;=[1]Assumptions!$B$5,"Handover","Recommissioning"))</f>
        <v>Handover</v>
      </c>
      <c r="G452" s="6" t="str">
        <f t="shared" si="7"/>
        <v>2025-03</v>
      </c>
    </row>
    <row r="453" spans="1:7" x14ac:dyDescent="0.3">
      <c r="A453" s="3">
        <v>451</v>
      </c>
      <c r="B453" s="4">
        <v>45745</v>
      </c>
      <c r="C453" s="5">
        <v>581.95000000000005</v>
      </c>
      <c r="D453" s="5">
        <v>535.343834037649</v>
      </c>
      <c r="E453" s="5">
        <v>418.05</v>
      </c>
      <c r="F453" s="3" t="str">
        <f>IF(A453&lt;=[1]Assumptions!$B$4,"Commissioning",IF(A453&lt;=[1]Assumptions!$B$5,"Handover","Recommissioning"))</f>
        <v>Handover</v>
      </c>
      <c r="G453" s="6" t="str">
        <f t="shared" si="7"/>
        <v>2025-03</v>
      </c>
    </row>
    <row r="454" spans="1:7" x14ac:dyDescent="0.3">
      <c r="A454" s="3">
        <v>452</v>
      </c>
      <c r="B454" s="4">
        <v>45746</v>
      </c>
      <c r="C454" s="5">
        <v>860.9</v>
      </c>
      <c r="D454" s="5">
        <v>172.58064516128999</v>
      </c>
      <c r="E454" s="5">
        <v>139.1</v>
      </c>
      <c r="F454" s="3" t="str">
        <f>IF(A454&lt;=[1]Assumptions!$B$4,"Commissioning",IF(A454&lt;=[1]Assumptions!$B$5,"Handover","Recommissioning"))</f>
        <v>Handover</v>
      </c>
      <c r="G454" s="6" t="str">
        <f t="shared" si="7"/>
        <v>2025-03</v>
      </c>
    </row>
    <row r="455" spans="1:7" x14ac:dyDescent="0.3">
      <c r="A455" s="3">
        <v>453</v>
      </c>
      <c r="B455" s="4">
        <v>45747</v>
      </c>
      <c r="C455" s="5">
        <v>1000.02</v>
      </c>
      <c r="D455" s="5">
        <v>0</v>
      </c>
      <c r="E455" s="5">
        <v>0</v>
      </c>
      <c r="F455" s="3" t="str">
        <f>IF(A455&lt;=[1]Assumptions!$B$4,"Commissioning",IF(A455&lt;=[1]Assumptions!$B$5,"Handover","Recommissioning"))</f>
        <v>Handover</v>
      </c>
      <c r="G455" s="6" t="str">
        <f t="shared" si="7"/>
        <v>2025-03</v>
      </c>
    </row>
    <row r="456" spans="1:7" x14ac:dyDescent="0.3">
      <c r="A456" s="3">
        <v>454</v>
      </c>
      <c r="B456" s="4">
        <v>45748</v>
      </c>
      <c r="C456" s="5">
        <v>918.23</v>
      </c>
      <c r="D456" s="5">
        <v>93.794448267951296</v>
      </c>
      <c r="E456" s="5">
        <v>81.77</v>
      </c>
      <c r="F456" s="3" t="str">
        <f>IF(A456&lt;=[1]Assumptions!$B$4,"Commissioning",IF(A456&lt;=[1]Assumptions!$B$5,"Handover","Recommissioning"))</f>
        <v>Handover</v>
      </c>
      <c r="G456" s="6" t="str">
        <f t="shared" si="7"/>
        <v>2025-04</v>
      </c>
    </row>
    <row r="457" spans="1:7" x14ac:dyDescent="0.3">
      <c r="A457" s="3">
        <v>455</v>
      </c>
      <c r="B457" s="4">
        <v>45749</v>
      </c>
      <c r="C457" s="5">
        <v>915.97</v>
      </c>
      <c r="D457" s="5">
        <v>102.164133738602</v>
      </c>
      <c r="E457" s="5">
        <v>84.03</v>
      </c>
      <c r="F457" s="3" t="str">
        <f>IF(A457&lt;=[1]Assumptions!$B$4,"Commissioning",IF(A457&lt;=[1]Assumptions!$B$5,"Handover","Recommissioning"))</f>
        <v>Handover</v>
      </c>
      <c r="G457" s="6" t="str">
        <f t="shared" si="7"/>
        <v>2025-04</v>
      </c>
    </row>
    <row r="458" spans="1:7" x14ac:dyDescent="0.3">
      <c r="A458" s="3">
        <v>456</v>
      </c>
      <c r="B458" s="4">
        <v>45750</v>
      </c>
      <c r="C458" s="5">
        <v>891.32</v>
      </c>
      <c r="D458" s="5">
        <v>122.95508541690199</v>
      </c>
      <c r="E458" s="5">
        <v>108.68</v>
      </c>
      <c r="F458" s="3" t="str">
        <f>IF(A458&lt;=[1]Assumptions!$B$4,"Commissioning",IF(A458&lt;=[1]Assumptions!$B$5,"Handover","Recommissioning"))</f>
        <v>Handover</v>
      </c>
      <c r="G458" s="6" t="str">
        <f t="shared" si="7"/>
        <v>2025-04</v>
      </c>
    </row>
    <row r="459" spans="1:7" x14ac:dyDescent="0.3">
      <c r="A459" s="3">
        <v>457</v>
      </c>
      <c r="B459" s="4">
        <v>45751</v>
      </c>
      <c r="C459" s="5">
        <v>925.88</v>
      </c>
      <c r="D459" s="5">
        <v>83.893604980192407</v>
      </c>
      <c r="E459" s="5">
        <v>74.12</v>
      </c>
      <c r="F459" s="3" t="str">
        <f>IF(A459&lt;=[1]Assumptions!$B$4,"Commissioning",IF(A459&lt;=[1]Assumptions!$B$5,"Handover","Recommissioning"))</f>
        <v>Handover</v>
      </c>
      <c r="G459" s="6" t="str">
        <f t="shared" si="7"/>
        <v>2025-04</v>
      </c>
    </row>
    <row r="460" spans="1:7" x14ac:dyDescent="0.3">
      <c r="A460" s="3">
        <v>458</v>
      </c>
      <c r="B460" s="4">
        <v>45752</v>
      </c>
      <c r="C460" s="5">
        <v>1107.2</v>
      </c>
      <c r="D460" s="5">
        <v>0</v>
      </c>
      <c r="E460" s="5">
        <v>0</v>
      </c>
      <c r="F460" s="3" t="str">
        <f>IF(A460&lt;=[1]Assumptions!$B$4,"Commissioning",IF(A460&lt;=[1]Assumptions!$B$5,"Handover","Recommissioning"))</f>
        <v>Recommissioning</v>
      </c>
      <c r="G460" s="6" t="str">
        <f t="shared" si="7"/>
        <v>2025-04</v>
      </c>
    </row>
    <row r="461" spans="1:7" x14ac:dyDescent="0.3">
      <c r="A461" s="3">
        <v>459</v>
      </c>
      <c r="B461" s="4">
        <v>45753</v>
      </c>
      <c r="C461" s="5">
        <v>1088.3599999999999</v>
      </c>
      <c r="D461" s="5">
        <v>0</v>
      </c>
      <c r="E461" s="5">
        <v>0</v>
      </c>
      <c r="F461" s="3" t="str">
        <f>IF(A461&lt;=[1]Assumptions!$B$4,"Commissioning",IF(A461&lt;=[1]Assumptions!$B$5,"Handover","Recommissioning"))</f>
        <v>Recommissioning</v>
      </c>
      <c r="G461" s="6" t="str">
        <f t="shared" si="7"/>
        <v>2025-04</v>
      </c>
    </row>
    <row r="462" spans="1:7" x14ac:dyDescent="0.3">
      <c r="A462" s="3">
        <v>460</v>
      </c>
      <c r="B462" s="4">
        <v>45754</v>
      </c>
      <c r="C462" s="5">
        <v>1073.75</v>
      </c>
      <c r="D462" s="5">
        <v>0</v>
      </c>
      <c r="E462" s="5">
        <v>0</v>
      </c>
      <c r="F462" s="3" t="str">
        <f>IF(A462&lt;=[1]Assumptions!$B$4,"Commissioning",IF(A462&lt;=[1]Assumptions!$B$5,"Handover","Recommissioning"))</f>
        <v>Recommissioning</v>
      </c>
      <c r="G462" s="6" t="str">
        <f t="shared" si="7"/>
        <v>2025-04</v>
      </c>
    </row>
    <row r="463" spans="1:7" x14ac:dyDescent="0.3">
      <c r="A463" s="3">
        <v>461</v>
      </c>
      <c r="B463" s="4">
        <v>45755</v>
      </c>
      <c r="C463" s="5">
        <v>1038.1600000000001</v>
      </c>
      <c r="D463" s="5">
        <v>0</v>
      </c>
      <c r="E463" s="5">
        <v>0</v>
      </c>
      <c r="F463" s="3" t="str">
        <f>IF(A463&lt;=[1]Assumptions!$B$4,"Commissioning",IF(A463&lt;=[1]Assumptions!$B$5,"Handover","Recommissioning"))</f>
        <v>Recommissioning</v>
      </c>
      <c r="G463" s="6" t="str">
        <f t="shared" si="7"/>
        <v>2025-04</v>
      </c>
    </row>
    <row r="464" spans="1:7" x14ac:dyDescent="0.3">
      <c r="A464" s="3">
        <v>462</v>
      </c>
      <c r="B464" s="4">
        <v>45756</v>
      </c>
      <c r="C464" s="5">
        <v>844.19</v>
      </c>
      <c r="D464" s="5">
        <v>178</v>
      </c>
      <c r="E464" s="5">
        <v>155.81</v>
      </c>
      <c r="F464" s="3" t="str">
        <f>IF(A464&lt;=[1]Assumptions!$B$4,"Commissioning",IF(A464&lt;=[1]Assumptions!$B$5,"Handover","Recommissioning"))</f>
        <v>Recommissioning</v>
      </c>
      <c r="G464" s="6" t="str">
        <f t="shared" si="7"/>
        <v>2025-04</v>
      </c>
    </row>
    <row r="465" spans="1:7" x14ac:dyDescent="0.3">
      <c r="A465" s="3">
        <v>463</v>
      </c>
      <c r="B465" s="4">
        <v>45757</v>
      </c>
      <c r="C465" s="5">
        <v>782.68</v>
      </c>
      <c r="D465" s="5">
        <v>278.75</v>
      </c>
      <c r="E465" s="5">
        <v>217.32</v>
      </c>
      <c r="F465" s="3" t="str">
        <f>IF(A465&lt;=[1]Assumptions!$B$4,"Commissioning",IF(A465&lt;=[1]Assumptions!$B$5,"Handover","Recommissioning"))</f>
        <v>Recommissioning</v>
      </c>
      <c r="G465" s="6" t="str">
        <f t="shared" si="7"/>
        <v>2025-04</v>
      </c>
    </row>
    <row r="466" spans="1:7" x14ac:dyDescent="0.3">
      <c r="A466" s="3">
        <v>464</v>
      </c>
      <c r="B466" s="4">
        <v>45758</v>
      </c>
      <c r="C466" s="5">
        <v>866.94</v>
      </c>
      <c r="D466" s="5">
        <v>163.52000000000001</v>
      </c>
      <c r="E466" s="5">
        <v>133.06</v>
      </c>
      <c r="F466" s="3" t="str">
        <f>IF(A466&lt;=[1]Assumptions!$B$4,"Commissioning",IF(A466&lt;=[1]Assumptions!$B$5,"Handover","Recommissioning"))</f>
        <v>Recommissioning</v>
      </c>
      <c r="G466" s="6" t="str">
        <f t="shared" si="7"/>
        <v>2025-04</v>
      </c>
    </row>
    <row r="467" spans="1:7" x14ac:dyDescent="0.3">
      <c r="A467" s="3">
        <v>465</v>
      </c>
      <c r="B467" s="4">
        <v>45759</v>
      </c>
      <c r="C467" s="5">
        <v>807.31</v>
      </c>
      <c r="D467" s="5">
        <v>247.7</v>
      </c>
      <c r="E467" s="5">
        <v>192.69</v>
      </c>
      <c r="F467" s="3" t="str">
        <f>IF(A467&lt;=[1]Assumptions!$B$4,"Commissioning",IF(A467&lt;=[1]Assumptions!$B$5,"Handover","Recommissioning"))</f>
        <v>Recommissioning</v>
      </c>
      <c r="G467" s="6" t="str">
        <f t="shared" si="7"/>
        <v>2025-04</v>
      </c>
    </row>
    <row r="468" spans="1:7" x14ac:dyDescent="0.3">
      <c r="A468" s="3">
        <v>466</v>
      </c>
      <c r="B468" s="4">
        <v>45760</v>
      </c>
      <c r="C468" s="5">
        <v>727.59</v>
      </c>
      <c r="D468" s="5">
        <v>318.60000000000002</v>
      </c>
      <c r="E468" s="5">
        <v>272.41000000000003</v>
      </c>
      <c r="F468" s="3" t="str">
        <f>IF(A468&lt;=[1]Assumptions!$B$4,"Commissioning",IF(A468&lt;=[1]Assumptions!$B$5,"Handover","Recommissioning"))</f>
        <v>Recommissioning</v>
      </c>
      <c r="G468" s="6" t="str">
        <f t="shared" si="7"/>
        <v>2025-04</v>
      </c>
    </row>
    <row r="469" spans="1:7" x14ac:dyDescent="0.3">
      <c r="A469" s="3">
        <v>467</v>
      </c>
      <c r="B469" s="4">
        <v>45761</v>
      </c>
      <c r="C469" s="5">
        <v>450.42</v>
      </c>
      <c r="D469" s="5">
        <v>638.15</v>
      </c>
      <c r="E469" s="5">
        <v>549.58000000000004</v>
      </c>
      <c r="F469" s="3" t="str">
        <f>IF(A469&lt;=[1]Assumptions!$B$4,"Commissioning",IF(A469&lt;=[1]Assumptions!$B$5,"Handover","Recommissioning"))</f>
        <v>Recommissioning</v>
      </c>
      <c r="G469" s="6" t="str">
        <f t="shared" si="7"/>
        <v>2025-04</v>
      </c>
    </row>
    <row r="470" spans="1:7" x14ac:dyDescent="0.3">
      <c r="A470" s="3">
        <v>468</v>
      </c>
      <c r="B470" s="4">
        <v>45762</v>
      </c>
      <c r="C470" s="5">
        <v>522.16999999999996</v>
      </c>
      <c r="D470" s="5">
        <v>581.79</v>
      </c>
      <c r="E470" s="5">
        <v>477.83</v>
      </c>
      <c r="F470" s="3" t="str">
        <f>IF(A470&lt;=[1]Assumptions!$B$4,"Commissioning",IF(A470&lt;=[1]Assumptions!$B$5,"Handover","Recommissioning"))</f>
        <v>Recommissioning</v>
      </c>
      <c r="G470" s="6" t="str">
        <f t="shared" si="7"/>
        <v>2025-04</v>
      </c>
    </row>
    <row r="471" spans="1:7" x14ac:dyDescent="0.3">
      <c r="A471" s="3">
        <v>469</v>
      </c>
      <c r="B471" s="4">
        <v>45763</v>
      </c>
      <c r="C471" s="5">
        <v>378.51</v>
      </c>
      <c r="D471" s="5">
        <v>793.83</v>
      </c>
      <c r="E471" s="5">
        <v>621.49</v>
      </c>
      <c r="F471" s="3" t="str">
        <f>IF(A471&lt;=[1]Assumptions!$B$4,"Commissioning",IF(A471&lt;=[1]Assumptions!$B$5,"Handover","Recommissioning"))</f>
        <v>Recommissioning</v>
      </c>
      <c r="G471" s="6" t="str">
        <f t="shared" si="7"/>
        <v>2025-04</v>
      </c>
    </row>
    <row r="472" spans="1:7" x14ac:dyDescent="0.3">
      <c r="A472" s="3">
        <v>470</v>
      </c>
      <c r="B472" s="4">
        <v>45764</v>
      </c>
      <c r="C472" s="5">
        <v>364.86</v>
      </c>
      <c r="D472" s="5">
        <v>816.69</v>
      </c>
      <c r="E472" s="5">
        <v>635.14</v>
      </c>
      <c r="F472" s="3" t="str">
        <f>IF(A472&lt;=[1]Assumptions!$B$4,"Commissioning",IF(A472&lt;=[1]Assumptions!$B$5,"Handover","Recommissioning"))</f>
        <v>Recommissioning</v>
      </c>
      <c r="G472" s="6" t="str">
        <f t="shared" si="7"/>
        <v>2025-04</v>
      </c>
    </row>
    <row r="473" spans="1:7" x14ac:dyDescent="0.3">
      <c r="A473" s="3">
        <v>471</v>
      </c>
      <c r="B473" s="4">
        <v>45765</v>
      </c>
      <c r="C473" s="5">
        <v>357.34</v>
      </c>
      <c r="D473" s="5">
        <v>820.55</v>
      </c>
      <c r="E473" s="5">
        <v>642.66</v>
      </c>
      <c r="F473" s="3" t="str">
        <f>IF(A473&lt;=[1]Assumptions!$B$4,"Commissioning",IF(A473&lt;=[1]Assumptions!$B$5,"Handover","Recommissioning"))</f>
        <v>Recommissioning</v>
      </c>
      <c r="G473" s="6" t="str">
        <f t="shared" si="7"/>
        <v>2025-04</v>
      </c>
    </row>
    <row r="474" spans="1:7" x14ac:dyDescent="0.3">
      <c r="A474" s="3">
        <v>472</v>
      </c>
      <c r="B474" s="4">
        <v>45766</v>
      </c>
      <c r="C474" s="5">
        <v>138.54</v>
      </c>
      <c r="D474" s="5">
        <v>979.26</v>
      </c>
      <c r="E474" s="5">
        <v>861.46</v>
      </c>
      <c r="F474" s="3" t="str">
        <f>IF(A474&lt;=[1]Assumptions!$B$4,"Commissioning",IF(A474&lt;=[1]Assumptions!$B$5,"Handover","Recommissioning"))</f>
        <v>Recommissioning</v>
      </c>
      <c r="G474" s="6" t="str">
        <f t="shared" si="7"/>
        <v>2025-04</v>
      </c>
    </row>
    <row r="475" spans="1:7" x14ac:dyDescent="0.3">
      <c r="A475" s="3">
        <v>473</v>
      </c>
      <c r="B475" s="4">
        <v>45767</v>
      </c>
      <c r="C475" s="5">
        <v>314.67</v>
      </c>
      <c r="D475" s="5">
        <v>804.85</v>
      </c>
      <c r="E475" s="5">
        <v>685.33</v>
      </c>
      <c r="F475" s="3" t="str">
        <f>IF(A475&lt;=[1]Assumptions!$B$4,"Commissioning",IF(A475&lt;=[1]Assumptions!$B$5,"Handover","Recommissioning"))</f>
        <v>Recommissioning</v>
      </c>
      <c r="G475" s="6" t="str">
        <f t="shared" si="7"/>
        <v>2025-04</v>
      </c>
    </row>
    <row r="476" spans="1:7" x14ac:dyDescent="0.3">
      <c r="A476" s="3">
        <v>474</v>
      </c>
      <c r="B476" s="4">
        <v>45768</v>
      </c>
      <c r="C476" s="5">
        <v>0.38</v>
      </c>
      <c r="D476" s="5">
        <v>1207.4100000000001</v>
      </c>
      <c r="E476" s="5">
        <v>999.62</v>
      </c>
      <c r="F476" s="3" t="str">
        <f>IF(A476&lt;=[1]Assumptions!$B$4,"Commissioning",IF(A476&lt;=[1]Assumptions!$B$5,"Handover","Recommissioning"))</f>
        <v>Recommissioning</v>
      </c>
      <c r="G476" s="6" t="str">
        <f t="shared" si="7"/>
        <v>2025-04</v>
      </c>
    </row>
    <row r="477" spans="1:7" x14ac:dyDescent="0.3">
      <c r="A477" s="3">
        <v>475</v>
      </c>
      <c r="B477" s="4">
        <v>45769</v>
      </c>
      <c r="C477" s="5">
        <v>418.13</v>
      </c>
      <c r="D477" s="5">
        <v>702.99</v>
      </c>
      <c r="E477" s="5">
        <v>581.87</v>
      </c>
      <c r="F477" s="3" t="str">
        <f>IF(A477&lt;=[1]Assumptions!$B$4,"Commissioning",IF(A477&lt;=[1]Assumptions!$B$5,"Handover","Recommissioning"))</f>
        <v>Recommissioning</v>
      </c>
      <c r="G477" s="6" t="str">
        <f t="shared" si="7"/>
        <v>2025-04</v>
      </c>
    </row>
    <row r="478" spans="1:7" x14ac:dyDescent="0.3">
      <c r="A478" s="3">
        <v>476</v>
      </c>
      <c r="B478" s="4">
        <v>45770</v>
      </c>
      <c r="C478" s="5">
        <v>335.01</v>
      </c>
      <c r="D478" s="5">
        <v>805.17</v>
      </c>
      <c r="E478" s="5">
        <v>664.99</v>
      </c>
      <c r="F478" s="3" t="str">
        <f>IF(A478&lt;=[1]Assumptions!$B$4,"Commissioning",IF(A478&lt;=[1]Assumptions!$B$5,"Handover","Recommissioning"))</f>
        <v>Recommissioning</v>
      </c>
      <c r="G478" s="6" t="str">
        <f t="shared" si="7"/>
        <v>2025-04</v>
      </c>
    </row>
    <row r="479" spans="1:7" x14ac:dyDescent="0.3">
      <c r="A479" s="3">
        <v>477</v>
      </c>
      <c r="B479" s="4">
        <v>45771</v>
      </c>
      <c r="C479" s="5">
        <v>0</v>
      </c>
      <c r="D479" s="5">
        <v>1274.02</v>
      </c>
      <c r="E479" s="5">
        <v>1007.37</v>
      </c>
      <c r="F479" s="3" t="str">
        <f>IF(A479&lt;=[1]Assumptions!$B$4,"Commissioning",IF(A479&lt;=[1]Assumptions!$B$5,"Handover","Recommissioning"))</f>
        <v>Recommissioning</v>
      </c>
      <c r="G479" s="6" t="str">
        <f t="shared" si="7"/>
        <v>2025-04</v>
      </c>
    </row>
    <row r="480" spans="1:7" x14ac:dyDescent="0.3">
      <c r="A480" s="3">
        <v>478</v>
      </c>
      <c r="B480" s="4">
        <v>45772</v>
      </c>
      <c r="C480" s="5">
        <v>25.63</v>
      </c>
      <c r="D480" s="5">
        <v>1258.22</v>
      </c>
      <c r="E480" s="5">
        <v>974.37</v>
      </c>
      <c r="F480" s="3" t="str">
        <f>IF(A480&lt;=[1]Assumptions!$B$4,"Commissioning",IF(A480&lt;=[1]Assumptions!$B$5,"Handover","Recommissioning"))</f>
        <v>Recommissioning</v>
      </c>
      <c r="G480" s="6" t="str">
        <f t="shared" si="7"/>
        <v>2025-04</v>
      </c>
    </row>
    <row r="481" spans="1:7" x14ac:dyDescent="0.3">
      <c r="A481" s="3">
        <v>479</v>
      </c>
      <c r="B481" s="4">
        <v>45773</v>
      </c>
      <c r="C481" s="5">
        <v>538.08000000000004</v>
      </c>
      <c r="D481" s="5">
        <v>569.91</v>
      </c>
      <c r="E481" s="5">
        <v>461.92</v>
      </c>
      <c r="F481" s="3" t="str">
        <f>IF(A481&lt;=[1]Assumptions!$B$4,"Commissioning",IF(A481&lt;=[1]Assumptions!$B$5,"Handover","Recommissioning"))</f>
        <v>Recommissioning</v>
      </c>
      <c r="G481" s="6" t="str">
        <f t="shared" si="7"/>
        <v>2025-04</v>
      </c>
    </row>
    <row r="482" spans="1:7" x14ac:dyDescent="0.3">
      <c r="A482" s="3">
        <v>480</v>
      </c>
      <c r="B482" s="4">
        <v>45774</v>
      </c>
      <c r="C482" s="5">
        <v>0</v>
      </c>
      <c r="D482" s="5">
        <v>1239.92</v>
      </c>
      <c r="E482" s="5">
        <v>1002.73</v>
      </c>
      <c r="F482" s="3" t="str">
        <f>IF(A482&lt;=[1]Assumptions!$B$4,"Commissioning",IF(A482&lt;=[1]Assumptions!$B$5,"Handover","Recommissioning"))</f>
        <v>Recommissioning</v>
      </c>
      <c r="G482" s="6" t="str">
        <f t="shared" si="7"/>
        <v>2025-04</v>
      </c>
    </row>
    <row r="483" spans="1:7" x14ac:dyDescent="0.3">
      <c r="A483" s="3">
        <v>481</v>
      </c>
      <c r="B483" s="4">
        <v>45775</v>
      </c>
      <c r="C483" s="5">
        <v>0</v>
      </c>
      <c r="D483" s="5">
        <v>1291.06</v>
      </c>
      <c r="E483" s="5">
        <v>1001.35</v>
      </c>
      <c r="F483" s="3" t="str">
        <f>IF(A483&lt;=[1]Assumptions!$B$4,"Commissioning",IF(A483&lt;=[1]Assumptions!$B$5,"Handover","Recommissioning"))</f>
        <v>Recommissioning</v>
      </c>
      <c r="G483" s="6" t="str">
        <f t="shared" si="7"/>
        <v>2025-04</v>
      </c>
    </row>
    <row r="484" spans="1:7" x14ac:dyDescent="0.3">
      <c r="A484" s="3">
        <v>482</v>
      </c>
      <c r="B484" s="4">
        <v>45776</v>
      </c>
      <c r="C484" s="5">
        <v>22.78</v>
      </c>
      <c r="D484" s="5">
        <v>1182.53</v>
      </c>
      <c r="E484" s="5">
        <v>977.22</v>
      </c>
      <c r="F484" s="3" t="str">
        <f>IF(A484&lt;=[1]Assumptions!$B$4,"Commissioning",IF(A484&lt;=[1]Assumptions!$B$5,"Handover","Recommissioning"))</f>
        <v>Recommissioning</v>
      </c>
      <c r="G484" s="6" t="str">
        <f t="shared" si="7"/>
        <v>2025-04</v>
      </c>
    </row>
    <row r="485" spans="1:7" x14ac:dyDescent="0.3">
      <c r="A485" s="3">
        <v>483</v>
      </c>
      <c r="B485" s="4">
        <v>45777</v>
      </c>
      <c r="C485" s="5">
        <v>42.35</v>
      </c>
      <c r="D485" s="5">
        <v>1083.81</v>
      </c>
      <c r="E485" s="5">
        <v>957.65</v>
      </c>
      <c r="F485" s="3" t="str">
        <f>IF(A485&lt;=[1]Assumptions!$B$4,"Commissioning",IF(A485&lt;=[1]Assumptions!$B$5,"Handover","Recommissioning"))</f>
        <v>Recommissioning</v>
      </c>
      <c r="G485" s="6" t="str">
        <f t="shared" si="7"/>
        <v>2025-04</v>
      </c>
    </row>
    <row r="486" spans="1:7" x14ac:dyDescent="0.3">
      <c r="A486" s="3">
        <v>484</v>
      </c>
      <c r="B486" s="4">
        <v>45778</v>
      </c>
      <c r="C486" s="5">
        <v>0</v>
      </c>
      <c r="D486" s="5">
        <v>1262.9000000000001</v>
      </c>
      <c r="E486" s="5">
        <v>989.23</v>
      </c>
      <c r="F486" s="3" t="str">
        <f>IF(A486&lt;=[1]Assumptions!$B$4,"Commissioning",IF(A486&lt;=[1]Assumptions!$B$5,"Handover","Recommissioning"))</f>
        <v>Recommissioning</v>
      </c>
      <c r="G486" s="6" t="str">
        <f t="shared" si="7"/>
        <v>2025-05</v>
      </c>
    </row>
    <row r="487" spans="1:7" x14ac:dyDescent="0.3">
      <c r="A487" s="3">
        <v>485</v>
      </c>
      <c r="B487" s="4">
        <v>45779</v>
      </c>
      <c r="C487" s="5">
        <v>0</v>
      </c>
      <c r="D487" s="5">
        <v>1119.48</v>
      </c>
      <c r="E487" s="5">
        <v>956.26</v>
      </c>
      <c r="F487" s="3" t="str">
        <f>IF(A487&lt;=[1]Assumptions!$B$4,"Commissioning",IF(A487&lt;=[1]Assumptions!$B$5,"Handover","Recommissioning"))</f>
        <v>Recommissioning</v>
      </c>
      <c r="G487" s="6" t="str">
        <f t="shared" si="7"/>
        <v>2025-05</v>
      </c>
    </row>
    <row r="488" spans="1:7" x14ac:dyDescent="0.3">
      <c r="A488" s="3">
        <v>486</v>
      </c>
      <c r="B488" s="4">
        <v>45780</v>
      </c>
      <c r="C488" s="5">
        <v>0</v>
      </c>
      <c r="D488" s="5">
        <v>1193.4100000000001</v>
      </c>
      <c r="E488" s="5">
        <v>1003.66</v>
      </c>
      <c r="F488" s="3" t="str">
        <f>IF(A488&lt;=[1]Assumptions!$B$4,"Commissioning",IF(A488&lt;=[1]Assumptions!$B$5,"Handover","Recommissioning"))</f>
        <v>Recommissioning</v>
      </c>
      <c r="G488" s="6" t="str">
        <f t="shared" si="7"/>
        <v>2025-05</v>
      </c>
    </row>
    <row r="489" spans="1:7" x14ac:dyDescent="0.3">
      <c r="A489" s="3">
        <v>487</v>
      </c>
      <c r="B489" s="4">
        <v>45781</v>
      </c>
      <c r="C489" s="5">
        <v>0</v>
      </c>
      <c r="D489" s="5">
        <v>1571.34</v>
      </c>
      <c r="E489" s="5">
        <v>969.68</v>
      </c>
      <c r="F489" s="3" t="str">
        <f>IF(A489&lt;=[1]Assumptions!$B$4,"Commissioning",IF(A489&lt;=[1]Assumptions!$B$5,"Handover","Recommissioning"))</f>
        <v>Recommissioning</v>
      </c>
      <c r="G489" s="6" t="str">
        <f t="shared" si="7"/>
        <v>2025-05</v>
      </c>
    </row>
    <row r="490" spans="1:7" x14ac:dyDescent="0.3">
      <c r="A490" s="3">
        <v>488</v>
      </c>
      <c r="B490" s="4">
        <v>45782</v>
      </c>
      <c r="C490" s="5">
        <v>0</v>
      </c>
      <c r="D490" s="5">
        <v>1571.11</v>
      </c>
      <c r="E490" s="5">
        <v>973.98</v>
      </c>
      <c r="F490" s="3" t="str">
        <f>IF(A490&lt;=[1]Assumptions!$B$4,"Commissioning",IF(A490&lt;=[1]Assumptions!$B$5,"Handover","Recommissioning"))</f>
        <v>Recommissioning</v>
      </c>
      <c r="G490" s="6" t="str">
        <f t="shared" si="7"/>
        <v>2025-05</v>
      </c>
    </row>
    <row r="491" spans="1:7" x14ac:dyDescent="0.3">
      <c r="A491" s="3">
        <v>489</v>
      </c>
      <c r="B491" s="4">
        <v>45783</v>
      </c>
      <c r="C491" s="5">
        <v>0</v>
      </c>
      <c r="D491" s="5">
        <v>1704.97</v>
      </c>
      <c r="E491" s="5">
        <v>974.87</v>
      </c>
      <c r="F491" s="3" t="str">
        <f>IF(A491&lt;=[1]Assumptions!$B$4,"Commissioning",IF(A491&lt;=[1]Assumptions!$B$5,"Handover","Recommissioning"))</f>
        <v>Recommissioning</v>
      </c>
      <c r="G491" s="6" t="str">
        <f t="shared" si="7"/>
        <v>2025-05</v>
      </c>
    </row>
    <row r="492" spans="1:7" x14ac:dyDescent="0.3">
      <c r="A492" s="3">
        <v>490</v>
      </c>
      <c r="B492" s="4">
        <v>45784</v>
      </c>
      <c r="C492" s="5">
        <v>0</v>
      </c>
      <c r="D492" s="5">
        <v>1582.51</v>
      </c>
      <c r="E492" s="5">
        <v>931.41</v>
      </c>
      <c r="F492" s="3" t="str">
        <f>IF(A492&lt;=[1]Assumptions!$B$4,"Commissioning",IF(A492&lt;=[1]Assumptions!$B$5,"Handover","Recommissioning"))</f>
        <v>Recommissioning</v>
      </c>
      <c r="G492" s="6" t="str">
        <f t="shared" si="7"/>
        <v>2025-05</v>
      </c>
    </row>
    <row r="493" spans="1:7" x14ac:dyDescent="0.3">
      <c r="A493" s="3">
        <v>491</v>
      </c>
      <c r="B493" s="4">
        <v>45785</v>
      </c>
      <c r="C493" s="5">
        <v>0</v>
      </c>
      <c r="D493" s="5">
        <v>1650.14</v>
      </c>
      <c r="E493" s="5">
        <v>939.54</v>
      </c>
      <c r="F493" s="3" t="str">
        <f>IF(A493&lt;=[1]Assumptions!$B$4,"Commissioning",IF(A493&lt;=[1]Assumptions!$B$5,"Handover","Recommissioning"))</f>
        <v>Recommissioning</v>
      </c>
      <c r="G493" s="6" t="str">
        <f t="shared" si="7"/>
        <v>2025-05</v>
      </c>
    </row>
    <row r="494" spans="1:7" x14ac:dyDescent="0.3">
      <c r="A494" s="3">
        <v>492</v>
      </c>
      <c r="B494" s="4">
        <v>45786</v>
      </c>
      <c r="C494" s="5">
        <v>0</v>
      </c>
      <c r="D494" s="5">
        <v>1611.28</v>
      </c>
      <c r="E494" s="5">
        <v>941.53</v>
      </c>
      <c r="F494" s="3" t="str">
        <f>IF(A494&lt;=[1]Assumptions!$B$4,"Commissioning",IF(A494&lt;=[1]Assumptions!$B$5,"Handover","Recommissioning"))</f>
        <v>Recommissioning</v>
      </c>
      <c r="G494" s="6" t="str">
        <f t="shared" si="7"/>
        <v>2025-05</v>
      </c>
    </row>
    <row r="495" spans="1:7" x14ac:dyDescent="0.3">
      <c r="A495" s="3">
        <v>493</v>
      </c>
      <c r="B495" s="4">
        <v>45787</v>
      </c>
      <c r="C495" s="5">
        <v>0</v>
      </c>
      <c r="D495" s="5">
        <v>1676.16</v>
      </c>
      <c r="E495" s="5">
        <v>1013.71</v>
      </c>
      <c r="F495" s="3" t="str">
        <f>IF(A495&lt;=[1]Assumptions!$B$4,"Commissioning",IF(A495&lt;=[1]Assumptions!$B$5,"Handover","Recommissioning"))</f>
        <v>Recommissioning</v>
      </c>
      <c r="G495" s="6" t="str">
        <f t="shared" si="7"/>
        <v>2025-05</v>
      </c>
    </row>
    <row r="496" spans="1:7" x14ac:dyDescent="0.3">
      <c r="A496" s="3">
        <v>494</v>
      </c>
      <c r="B496" s="4">
        <v>45788</v>
      </c>
      <c r="C496" s="5">
        <v>0</v>
      </c>
      <c r="D496" s="5">
        <v>1564.37</v>
      </c>
      <c r="E496" s="5">
        <v>983.72</v>
      </c>
      <c r="F496" s="3" t="str">
        <f>IF(A496&lt;=[1]Assumptions!$B$4,"Commissioning",IF(A496&lt;=[1]Assumptions!$B$5,"Handover","Recommissioning"))</f>
        <v>Recommissioning</v>
      </c>
      <c r="G496" s="6" t="str">
        <f t="shared" si="7"/>
        <v>2025-05</v>
      </c>
    </row>
    <row r="497" spans="1:7" x14ac:dyDescent="0.3">
      <c r="A497" s="3">
        <v>495</v>
      </c>
      <c r="B497" s="4">
        <v>45789</v>
      </c>
      <c r="C497" s="5">
        <v>0</v>
      </c>
      <c r="D497" s="5">
        <v>1653.97</v>
      </c>
      <c r="E497" s="5">
        <v>915.02</v>
      </c>
      <c r="F497" s="3" t="str">
        <f>IF(A497&lt;=[1]Assumptions!$B$4,"Commissioning",IF(A497&lt;=[1]Assumptions!$B$5,"Handover","Recommissioning"))</f>
        <v>Recommissioning</v>
      </c>
      <c r="G497" s="6" t="str">
        <f t="shared" si="7"/>
        <v>2025-05</v>
      </c>
    </row>
    <row r="498" spans="1:7" x14ac:dyDescent="0.3">
      <c r="A498" s="3">
        <v>496</v>
      </c>
      <c r="B498" s="4">
        <v>45790</v>
      </c>
      <c r="C498" s="5">
        <v>0</v>
      </c>
      <c r="D498" s="5">
        <v>1570.54</v>
      </c>
      <c r="E498" s="5">
        <v>976.96</v>
      </c>
      <c r="F498" s="3" t="str">
        <f>IF(A498&lt;=[1]Assumptions!$B$4,"Commissioning",IF(A498&lt;=[1]Assumptions!$B$5,"Handover","Recommissioning"))</f>
        <v>Recommissioning</v>
      </c>
      <c r="G498" s="6" t="str">
        <f t="shared" si="7"/>
        <v>2025-05</v>
      </c>
    </row>
    <row r="499" spans="1:7" x14ac:dyDescent="0.3">
      <c r="A499" s="3">
        <v>497</v>
      </c>
      <c r="B499" s="4">
        <v>45791</v>
      </c>
      <c r="C499" s="5">
        <v>0</v>
      </c>
      <c r="D499" s="5">
        <v>1570.41</v>
      </c>
      <c r="E499" s="5">
        <v>919.97</v>
      </c>
      <c r="F499" s="3" t="str">
        <f>IF(A499&lt;=[1]Assumptions!$B$4,"Commissioning",IF(A499&lt;=[1]Assumptions!$B$5,"Handover","Recommissioning"))</f>
        <v>Recommissioning</v>
      </c>
      <c r="G499" s="6" t="str">
        <f t="shared" si="7"/>
        <v>2025-05</v>
      </c>
    </row>
    <row r="500" spans="1:7" x14ac:dyDescent="0.3">
      <c r="A500" s="3">
        <v>498</v>
      </c>
      <c r="B500" s="4">
        <v>45792</v>
      </c>
      <c r="C500" s="5">
        <v>0</v>
      </c>
      <c r="D500" s="5">
        <v>1668.4</v>
      </c>
      <c r="E500" s="5">
        <v>922.42</v>
      </c>
      <c r="F500" s="3" t="str">
        <f>IF(A500&lt;=[1]Assumptions!$B$4,"Commissioning",IF(A500&lt;=[1]Assumptions!$B$5,"Handover","Recommissioning"))</f>
        <v>Recommissioning</v>
      </c>
      <c r="G500" s="6" t="str">
        <f t="shared" si="7"/>
        <v>2025-05</v>
      </c>
    </row>
    <row r="501" spans="1:7" x14ac:dyDescent="0.3">
      <c r="A501" s="3">
        <v>499</v>
      </c>
      <c r="B501" s="4">
        <v>45793</v>
      </c>
      <c r="C501" s="5">
        <v>0</v>
      </c>
      <c r="D501" s="5">
        <v>1615.89</v>
      </c>
      <c r="E501" s="5">
        <v>1021.08</v>
      </c>
      <c r="F501" s="3" t="str">
        <f>IF(A501&lt;=[1]Assumptions!$B$4,"Commissioning",IF(A501&lt;=[1]Assumptions!$B$5,"Handover","Recommissioning"))</f>
        <v>Recommissioning</v>
      </c>
      <c r="G501" s="6" t="str">
        <f t="shared" si="7"/>
        <v>2025-05</v>
      </c>
    </row>
    <row r="502" spans="1:7" x14ac:dyDescent="0.3">
      <c r="A502" s="3">
        <v>500</v>
      </c>
      <c r="B502" s="4">
        <v>45794</v>
      </c>
      <c r="C502" s="5">
        <v>0</v>
      </c>
      <c r="D502" s="5">
        <v>1605.12</v>
      </c>
      <c r="E502" s="5">
        <v>1004.29</v>
      </c>
      <c r="F502" s="3" t="str">
        <f>IF(A502&lt;=[1]Assumptions!$B$4,"Commissioning",IF(A502&lt;=[1]Assumptions!$B$5,"Handover","Recommissioning"))</f>
        <v>Recommissioning</v>
      </c>
      <c r="G502" s="6" t="str">
        <f t="shared" si="7"/>
        <v>2025-05</v>
      </c>
    </row>
    <row r="503" spans="1:7" x14ac:dyDescent="0.3">
      <c r="A503" s="3">
        <v>501</v>
      </c>
      <c r="B503" s="4">
        <v>45795</v>
      </c>
      <c r="C503" s="5">
        <v>0</v>
      </c>
      <c r="D503" s="5">
        <v>1637.99</v>
      </c>
      <c r="E503" s="5">
        <v>967.09</v>
      </c>
      <c r="F503" s="3" t="str">
        <f>IF(A503&lt;=[1]Assumptions!$B$4,"Commissioning",IF(A503&lt;=[1]Assumptions!$B$5,"Handover","Recommissioning"))</f>
        <v>Recommissioning</v>
      </c>
      <c r="G503" s="6" t="str">
        <f t="shared" si="7"/>
        <v>2025-05</v>
      </c>
    </row>
    <row r="504" spans="1:7" x14ac:dyDescent="0.3">
      <c r="A504" s="3">
        <v>502</v>
      </c>
      <c r="B504" s="4">
        <v>45796</v>
      </c>
      <c r="C504" s="5">
        <v>0</v>
      </c>
      <c r="D504" s="5">
        <v>1557.35</v>
      </c>
      <c r="E504" s="5">
        <v>935.16</v>
      </c>
      <c r="F504" s="3" t="str">
        <f>IF(A504&lt;=[1]Assumptions!$B$4,"Commissioning",IF(A504&lt;=[1]Assumptions!$B$5,"Handover","Recommissioning"))</f>
        <v>Recommissioning</v>
      </c>
      <c r="G504" s="6" t="str">
        <f t="shared" si="7"/>
        <v>2025-05</v>
      </c>
    </row>
    <row r="505" spans="1:7" x14ac:dyDescent="0.3">
      <c r="A505" s="3">
        <v>503</v>
      </c>
      <c r="B505" s="4">
        <v>45797</v>
      </c>
      <c r="C505" s="5">
        <v>0</v>
      </c>
      <c r="D505" s="5">
        <v>1581.28</v>
      </c>
      <c r="E505" s="5">
        <v>1001.75</v>
      </c>
      <c r="F505" s="3" t="str">
        <f>IF(A505&lt;=[1]Assumptions!$B$4,"Commissioning",IF(A505&lt;=[1]Assumptions!$B$5,"Handover","Recommissioning"))</f>
        <v>Recommissioning</v>
      </c>
      <c r="G505" s="6" t="str">
        <f t="shared" si="7"/>
        <v>2025-05</v>
      </c>
    </row>
    <row r="506" spans="1:7" x14ac:dyDescent="0.3">
      <c r="A506" s="3">
        <v>504</v>
      </c>
      <c r="B506" s="4">
        <v>45798</v>
      </c>
      <c r="C506" s="5">
        <v>0</v>
      </c>
      <c r="D506" s="5">
        <v>1647.71</v>
      </c>
      <c r="E506" s="5">
        <v>1013.17</v>
      </c>
      <c r="F506" s="3" t="str">
        <f>IF(A506&lt;=[1]Assumptions!$B$4,"Commissioning",IF(A506&lt;=[1]Assumptions!$B$5,"Handover","Recommissioning"))</f>
        <v>Recommissioning</v>
      </c>
      <c r="G506" s="6" t="str">
        <f t="shared" si="7"/>
        <v>2025-05</v>
      </c>
    </row>
    <row r="507" spans="1:7" x14ac:dyDescent="0.3">
      <c r="A507" s="3">
        <v>505</v>
      </c>
      <c r="B507" s="4">
        <v>45799</v>
      </c>
      <c r="C507" s="5">
        <v>0</v>
      </c>
      <c r="D507" s="5">
        <v>1682.81</v>
      </c>
      <c r="E507" s="5">
        <v>936.56</v>
      </c>
      <c r="F507" s="3" t="str">
        <f>IF(A507&lt;=[1]Assumptions!$B$4,"Commissioning",IF(A507&lt;=[1]Assumptions!$B$5,"Handover","Recommissioning"))</f>
        <v>Recommissioning</v>
      </c>
      <c r="G507" s="6" t="str">
        <f t="shared" si="7"/>
        <v>2025-05</v>
      </c>
    </row>
    <row r="508" spans="1:7" x14ac:dyDescent="0.3">
      <c r="A508" s="3">
        <v>506</v>
      </c>
      <c r="B508" s="4">
        <v>45800</v>
      </c>
      <c r="C508" s="5">
        <v>0</v>
      </c>
      <c r="D508" s="5">
        <v>1593.84</v>
      </c>
      <c r="E508" s="5">
        <v>952.07</v>
      </c>
      <c r="F508" s="3" t="str">
        <f>IF(A508&lt;=[1]Assumptions!$B$4,"Commissioning",IF(A508&lt;=[1]Assumptions!$B$5,"Handover","Recommissioning"))</f>
        <v>Recommissioning</v>
      </c>
      <c r="G508" s="6" t="str">
        <f t="shared" si="7"/>
        <v>2025-05</v>
      </c>
    </row>
    <row r="509" spans="1:7" x14ac:dyDescent="0.3">
      <c r="A509" s="3">
        <v>507</v>
      </c>
      <c r="B509" s="4">
        <v>45801</v>
      </c>
      <c r="C509" s="5">
        <v>0</v>
      </c>
      <c r="D509" s="5">
        <v>1555.53</v>
      </c>
      <c r="E509" s="5">
        <v>953.9</v>
      </c>
      <c r="F509" s="3" t="str">
        <f>IF(A509&lt;=[1]Assumptions!$B$4,"Commissioning",IF(A509&lt;=[1]Assumptions!$B$5,"Handover","Recommissioning"))</f>
        <v>Recommissioning</v>
      </c>
      <c r="G509" s="6" t="str">
        <f t="shared" si="7"/>
        <v>2025-05</v>
      </c>
    </row>
    <row r="510" spans="1:7" x14ac:dyDescent="0.3">
      <c r="A510" s="3">
        <v>508</v>
      </c>
      <c r="B510" s="4">
        <v>45802</v>
      </c>
      <c r="C510" s="5">
        <v>0</v>
      </c>
      <c r="D510" s="5">
        <v>1555.06</v>
      </c>
      <c r="E510" s="5">
        <v>937.41</v>
      </c>
      <c r="F510" s="3" t="str">
        <f>IF(A510&lt;=[1]Assumptions!$B$4,"Commissioning",IF(A510&lt;=[1]Assumptions!$B$5,"Handover","Recommissioning"))</f>
        <v>Recommissioning</v>
      </c>
      <c r="G510" s="6" t="str">
        <f t="shared" si="7"/>
        <v>2025-05</v>
      </c>
    </row>
    <row r="511" spans="1:7" x14ac:dyDescent="0.3">
      <c r="A511" s="3">
        <v>509</v>
      </c>
      <c r="B511" s="4">
        <v>45803</v>
      </c>
      <c r="C511" s="5">
        <v>0</v>
      </c>
      <c r="D511" s="5">
        <v>1704.21</v>
      </c>
      <c r="E511" s="5">
        <v>930.51</v>
      </c>
      <c r="F511" s="3" t="str">
        <f>IF(A511&lt;=[1]Assumptions!$B$4,"Commissioning",IF(A511&lt;=[1]Assumptions!$B$5,"Handover","Recommissioning"))</f>
        <v>Recommissioning</v>
      </c>
      <c r="G511" s="6" t="str">
        <f t="shared" si="7"/>
        <v>2025-05</v>
      </c>
    </row>
    <row r="512" spans="1:7" x14ac:dyDescent="0.3">
      <c r="A512" s="3">
        <v>510</v>
      </c>
      <c r="B512" s="4">
        <v>45804</v>
      </c>
      <c r="C512" s="5">
        <v>0</v>
      </c>
      <c r="D512" s="5">
        <v>1662.87</v>
      </c>
      <c r="E512" s="5">
        <v>949.97</v>
      </c>
      <c r="F512" s="3" t="str">
        <f>IF(A512&lt;=[1]Assumptions!$B$4,"Commissioning",IF(A512&lt;=[1]Assumptions!$B$5,"Handover","Recommissioning"))</f>
        <v>Recommissioning</v>
      </c>
      <c r="G512" s="6" t="str">
        <f t="shared" si="7"/>
        <v>2025-05</v>
      </c>
    </row>
    <row r="513" spans="1:7" x14ac:dyDescent="0.3">
      <c r="A513" s="3">
        <v>511</v>
      </c>
      <c r="B513" s="4">
        <v>45805</v>
      </c>
      <c r="C513" s="5">
        <v>0</v>
      </c>
      <c r="D513" s="5">
        <v>1575.42</v>
      </c>
      <c r="E513" s="5">
        <v>924.98</v>
      </c>
      <c r="F513" s="3" t="str">
        <f>IF(A513&lt;=[1]Assumptions!$B$4,"Commissioning",IF(A513&lt;=[1]Assumptions!$B$5,"Handover","Recommissioning"))</f>
        <v>Recommissioning</v>
      </c>
      <c r="G513" s="6" t="str">
        <f t="shared" si="7"/>
        <v>2025-05</v>
      </c>
    </row>
    <row r="514" spans="1:7" x14ac:dyDescent="0.3">
      <c r="A514" s="3">
        <v>512</v>
      </c>
      <c r="B514" s="4">
        <v>45806</v>
      </c>
      <c r="C514" s="5">
        <v>0</v>
      </c>
      <c r="D514" s="5">
        <v>1690.03</v>
      </c>
      <c r="E514" s="5">
        <v>933.7</v>
      </c>
      <c r="F514" s="3" t="str">
        <f>IF(A514&lt;=[1]Assumptions!$B$4,"Commissioning",IF(A514&lt;=[1]Assumptions!$B$5,"Handover","Recommissioning"))</f>
        <v>Recommissioning</v>
      </c>
      <c r="G514" s="6" t="str">
        <f t="shared" si="7"/>
        <v>2025-05</v>
      </c>
    </row>
    <row r="515" spans="1:7" x14ac:dyDescent="0.3">
      <c r="A515" s="3">
        <v>513</v>
      </c>
      <c r="B515" s="4">
        <v>45807</v>
      </c>
      <c r="C515" s="5">
        <v>0</v>
      </c>
      <c r="D515" s="5">
        <v>1582.86</v>
      </c>
      <c r="E515" s="5">
        <v>975.25</v>
      </c>
      <c r="F515" s="3" t="str">
        <f>IF(A515&lt;=[1]Assumptions!$B$4,"Commissioning",IF(A515&lt;=[1]Assumptions!$B$5,"Handover","Recommissioning"))</f>
        <v>Recommissioning</v>
      </c>
      <c r="G515" s="6" t="str">
        <f t="shared" ref="G515:G542" si="8">YEAR(B515)&amp;"-"&amp;TEXT(MONTH(B515),"00")</f>
        <v>2025-05</v>
      </c>
    </row>
    <row r="516" spans="1:7" x14ac:dyDescent="0.3">
      <c r="A516" s="3">
        <v>514</v>
      </c>
      <c r="B516" s="4">
        <v>45808</v>
      </c>
      <c r="C516" s="5">
        <v>0</v>
      </c>
      <c r="D516" s="5">
        <v>1470.55</v>
      </c>
      <c r="E516" s="5">
        <v>950.48</v>
      </c>
      <c r="F516" s="3" t="str">
        <f>IF(A516&lt;=[1]Assumptions!$B$4,"Commissioning",IF(A516&lt;=[1]Assumptions!$B$5,"Handover","Recommissioning"))</f>
        <v>Recommissioning</v>
      </c>
      <c r="G516" s="6" t="str">
        <f t="shared" si="8"/>
        <v>2025-05</v>
      </c>
    </row>
    <row r="517" spans="1:7" x14ac:dyDescent="0.3">
      <c r="A517" s="3">
        <v>515</v>
      </c>
      <c r="B517" s="4">
        <v>45809</v>
      </c>
      <c r="C517" s="5">
        <v>0</v>
      </c>
      <c r="D517" s="5">
        <v>1370.41</v>
      </c>
      <c r="E517" s="5">
        <v>962.48</v>
      </c>
      <c r="F517" s="3" t="str">
        <f>IF(A517&lt;=[1]Assumptions!$B$4,"Commissioning",IF(A517&lt;=[1]Assumptions!$B$5,"Handover","Recommissioning"))</f>
        <v>Recommissioning</v>
      </c>
      <c r="G517" s="6" t="str">
        <f t="shared" si="8"/>
        <v>2025-06</v>
      </c>
    </row>
    <row r="518" spans="1:7" x14ac:dyDescent="0.3">
      <c r="A518" s="3">
        <v>516</v>
      </c>
      <c r="B518" s="4">
        <v>45810</v>
      </c>
      <c r="C518" s="5">
        <v>0</v>
      </c>
      <c r="D518" s="5">
        <v>1668.4</v>
      </c>
      <c r="E518" s="5">
        <v>954.66</v>
      </c>
      <c r="F518" s="3" t="str">
        <f>IF(A518&lt;=[1]Assumptions!$B$4,"Commissioning",IF(A518&lt;=[1]Assumptions!$B$5,"Handover","Recommissioning"))</f>
        <v>Recommissioning</v>
      </c>
      <c r="G518" s="6" t="str">
        <f t="shared" si="8"/>
        <v>2025-06</v>
      </c>
    </row>
    <row r="519" spans="1:7" x14ac:dyDescent="0.3">
      <c r="A519" s="3">
        <v>517</v>
      </c>
      <c r="B519" s="4">
        <v>45811</v>
      </c>
      <c r="C519" s="5">
        <v>0</v>
      </c>
      <c r="D519" s="5">
        <v>1624.89</v>
      </c>
      <c r="E519" s="5">
        <v>994.08</v>
      </c>
      <c r="F519" s="3" t="str">
        <f>IF(A519&lt;=[1]Assumptions!$B$4,"Commissioning",IF(A519&lt;=[1]Assumptions!$B$5,"Handover","Recommissioning"))</f>
        <v>Recommissioning</v>
      </c>
      <c r="G519" s="6" t="str">
        <f t="shared" si="8"/>
        <v>2025-06</v>
      </c>
    </row>
    <row r="520" spans="1:7" x14ac:dyDescent="0.3">
      <c r="A520" s="3">
        <v>518</v>
      </c>
      <c r="B520" s="4">
        <v>45812</v>
      </c>
      <c r="C520" s="5">
        <v>0</v>
      </c>
      <c r="D520" s="5">
        <v>1612.12</v>
      </c>
      <c r="E520" s="5">
        <v>1006.81</v>
      </c>
      <c r="F520" s="3" t="str">
        <f>IF(A520&lt;=[1]Assumptions!$B$4,"Commissioning",IF(A520&lt;=[1]Assumptions!$B$5,"Handover","Recommissioning"))</f>
        <v>Recommissioning</v>
      </c>
      <c r="G520" s="6" t="str">
        <f t="shared" si="8"/>
        <v>2025-06</v>
      </c>
    </row>
    <row r="521" spans="1:7" x14ac:dyDescent="0.3">
      <c r="A521" s="3">
        <v>519</v>
      </c>
      <c r="B521" s="4">
        <v>45813</v>
      </c>
      <c r="C521" s="5">
        <v>0</v>
      </c>
      <c r="D521" s="5">
        <v>1437.99</v>
      </c>
      <c r="E521" s="5">
        <v>960.7</v>
      </c>
      <c r="F521" s="3" t="str">
        <f>IF(A521&lt;=[1]Assumptions!$B$4,"Commissioning",IF(A521&lt;=[1]Assumptions!$B$5,"Handover","Recommissioning"))</f>
        <v>Recommissioning</v>
      </c>
      <c r="G521" s="6" t="str">
        <f t="shared" si="8"/>
        <v>2025-06</v>
      </c>
    </row>
    <row r="522" spans="1:7" x14ac:dyDescent="0.3">
      <c r="A522" s="3">
        <v>520</v>
      </c>
      <c r="B522" s="4">
        <v>45814</v>
      </c>
      <c r="C522" s="5">
        <v>0</v>
      </c>
      <c r="D522" s="5">
        <v>1657.35</v>
      </c>
      <c r="E522" s="5">
        <v>996.54</v>
      </c>
      <c r="F522" s="3" t="str">
        <f>IF(A522&lt;=[1]Assumptions!$B$4,"Commissioning",IF(A522&lt;=[1]Assumptions!$B$5,"Handover","Recommissioning"))</f>
        <v>Recommissioning</v>
      </c>
      <c r="G522" s="6" t="str">
        <f t="shared" si="8"/>
        <v>2025-06</v>
      </c>
    </row>
    <row r="523" spans="1:7" x14ac:dyDescent="0.3">
      <c r="A523" s="3">
        <v>521</v>
      </c>
      <c r="B523" s="4">
        <v>45815</v>
      </c>
      <c r="C523" s="5">
        <v>0</v>
      </c>
      <c r="D523" s="5">
        <v>1381.28</v>
      </c>
      <c r="E523" s="5">
        <v>1004.57</v>
      </c>
      <c r="F523" s="3" t="str">
        <f>IF(A523&lt;=[1]Assumptions!$B$4,"Commissioning",IF(A523&lt;=[1]Assumptions!$B$5,"Handover","Recommissioning"))</f>
        <v>Recommissioning</v>
      </c>
      <c r="G523" s="6" t="str">
        <f t="shared" si="8"/>
        <v>2025-06</v>
      </c>
    </row>
    <row r="524" spans="1:7" x14ac:dyDescent="0.3">
      <c r="A524" s="3">
        <v>522</v>
      </c>
      <c r="B524" s="4">
        <v>45816</v>
      </c>
      <c r="C524" s="5">
        <v>0</v>
      </c>
      <c r="D524" s="5">
        <v>1547.71</v>
      </c>
      <c r="E524" s="5">
        <v>986.85</v>
      </c>
      <c r="F524" s="3" t="str">
        <f>IF(A524&lt;=[1]Assumptions!$B$4,"Commissioning",IF(A524&lt;=[1]Assumptions!$B$5,"Handover","Recommissioning"))</f>
        <v>Recommissioning</v>
      </c>
      <c r="G524" s="6" t="str">
        <f t="shared" si="8"/>
        <v>2025-06</v>
      </c>
    </row>
    <row r="525" spans="1:7" x14ac:dyDescent="0.3">
      <c r="A525" s="3">
        <v>523</v>
      </c>
      <c r="B525" s="4">
        <v>45817</v>
      </c>
      <c r="C525" s="5">
        <v>0</v>
      </c>
      <c r="D525" s="5">
        <v>1282.81</v>
      </c>
      <c r="E525" s="5">
        <v>952.54</v>
      </c>
      <c r="F525" s="3" t="str">
        <f>IF(A525&lt;=[1]Assumptions!$B$4,"Commissioning",IF(A525&lt;=[1]Assumptions!$B$5,"Handover","Recommissioning"))</f>
        <v>Recommissioning</v>
      </c>
      <c r="G525" s="6" t="str">
        <f t="shared" si="8"/>
        <v>2025-06</v>
      </c>
    </row>
    <row r="526" spans="1:7" x14ac:dyDescent="0.3">
      <c r="A526" s="3">
        <v>524</v>
      </c>
      <c r="B526" s="4">
        <v>45818</v>
      </c>
      <c r="C526" s="5">
        <v>0</v>
      </c>
      <c r="D526" s="5">
        <v>1593.84</v>
      </c>
      <c r="E526" s="5">
        <v>1000.04</v>
      </c>
      <c r="F526" s="3" t="str">
        <f>IF(A526&lt;=[1]Assumptions!$B$4,"Commissioning",IF(A526&lt;=[1]Assumptions!$B$5,"Handover","Recommissioning"))</f>
        <v>Recommissioning</v>
      </c>
      <c r="G526" s="6" t="str">
        <f t="shared" si="8"/>
        <v>2025-06</v>
      </c>
    </row>
    <row r="527" spans="1:7" x14ac:dyDescent="0.3">
      <c r="A527" s="3">
        <v>525</v>
      </c>
      <c r="B527" s="4">
        <v>45819</v>
      </c>
      <c r="C527" s="5">
        <v>0</v>
      </c>
      <c r="D527" s="5">
        <v>1155.53</v>
      </c>
      <c r="E527" s="5">
        <v>1009.07</v>
      </c>
      <c r="F527" s="3" t="str">
        <f>IF(A527&lt;=[1]Assumptions!$B$4,"Commissioning",IF(A527&lt;=[1]Assumptions!$B$5,"Handover","Recommissioning"))</f>
        <v>Recommissioning</v>
      </c>
      <c r="G527" s="6" t="str">
        <f t="shared" si="8"/>
        <v>2025-06</v>
      </c>
    </row>
    <row r="528" spans="1:7" x14ac:dyDescent="0.3">
      <c r="A528" s="3">
        <v>526</v>
      </c>
      <c r="B528" s="4">
        <v>45820</v>
      </c>
      <c r="C528" s="5">
        <v>0</v>
      </c>
      <c r="D528" s="5">
        <v>1555.06</v>
      </c>
      <c r="E528" s="5">
        <v>987.11</v>
      </c>
      <c r="F528" s="3" t="str">
        <f>IF(A528&lt;=[1]Assumptions!$B$4,"Commissioning",IF(A528&lt;=[1]Assumptions!$B$5,"Handover","Recommissioning"))</f>
        <v>Recommissioning</v>
      </c>
      <c r="G528" s="6" t="str">
        <f t="shared" si="8"/>
        <v>2025-06</v>
      </c>
    </row>
    <row r="529" spans="1:7" x14ac:dyDescent="0.3">
      <c r="A529" s="3">
        <v>527</v>
      </c>
      <c r="B529" s="4">
        <v>45821</v>
      </c>
      <c r="C529" s="5">
        <v>0</v>
      </c>
      <c r="D529" s="5">
        <v>1604.21</v>
      </c>
      <c r="E529" s="5">
        <v>1007.8</v>
      </c>
      <c r="F529" s="3" t="str">
        <f>IF(A529&lt;=[1]Assumptions!$B$4,"Commissioning",IF(A529&lt;=[1]Assumptions!$B$5,"Handover","Recommissioning"))</f>
        <v>Recommissioning</v>
      </c>
      <c r="G529" s="6" t="str">
        <f t="shared" si="8"/>
        <v>2025-06</v>
      </c>
    </row>
    <row r="530" spans="1:7" x14ac:dyDescent="0.3">
      <c r="A530" s="3">
        <v>528</v>
      </c>
      <c r="B530" s="4">
        <v>45822</v>
      </c>
      <c r="C530" s="5">
        <v>0</v>
      </c>
      <c r="D530" s="5">
        <v>1262.8699999999999</v>
      </c>
      <c r="E530" s="5">
        <v>949.68</v>
      </c>
      <c r="F530" s="3" t="str">
        <f>IF(A530&lt;=[1]Assumptions!$B$4,"Commissioning",IF(A530&lt;=[1]Assumptions!$B$5,"Handover","Recommissioning"))</f>
        <v>Recommissioning</v>
      </c>
      <c r="G530" s="6" t="str">
        <f t="shared" si="8"/>
        <v>2025-06</v>
      </c>
    </row>
    <row r="531" spans="1:7" x14ac:dyDescent="0.3">
      <c r="A531" s="3">
        <v>529</v>
      </c>
      <c r="B531" s="4">
        <v>45823</v>
      </c>
      <c r="C531" s="5">
        <v>0</v>
      </c>
      <c r="D531" s="5">
        <v>1675.42</v>
      </c>
      <c r="E531" s="5">
        <v>1000.72</v>
      </c>
      <c r="F531" s="3" t="str">
        <f>IF(A531&lt;=[1]Assumptions!$B$4,"Commissioning",IF(A531&lt;=[1]Assumptions!$B$5,"Handover","Recommissioning"))</f>
        <v>Recommissioning</v>
      </c>
      <c r="G531" s="6" t="str">
        <f t="shared" si="8"/>
        <v>2025-06</v>
      </c>
    </row>
    <row r="532" spans="1:7" x14ac:dyDescent="0.3">
      <c r="A532" s="3">
        <v>530</v>
      </c>
      <c r="B532" s="4">
        <v>45824</v>
      </c>
      <c r="C532" s="5">
        <v>0</v>
      </c>
      <c r="D532" s="5">
        <v>1690.03</v>
      </c>
      <c r="E532" s="5">
        <v>988.89</v>
      </c>
      <c r="F532" s="3" t="str">
        <f>IF(A532&lt;=[1]Assumptions!$B$4,"Commissioning",IF(A532&lt;=[1]Assumptions!$B$5,"Handover","Recommissioning"))</f>
        <v>Recommissioning</v>
      </c>
      <c r="G532" s="6" t="str">
        <f t="shared" si="8"/>
        <v>2025-06</v>
      </c>
    </row>
    <row r="533" spans="1:7" x14ac:dyDescent="0.3">
      <c r="A533" s="3">
        <v>531</v>
      </c>
      <c r="B533" s="4">
        <v>45825</v>
      </c>
      <c r="C533" s="5">
        <v>0</v>
      </c>
      <c r="D533" s="5">
        <v>1382.86</v>
      </c>
      <c r="E533" s="5">
        <v>947.36</v>
      </c>
      <c r="F533" s="3" t="str">
        <f>IF(A533&lt;=[1]Assumptions!$B$4,"Commissioning",IF(A533&lt;=[1]Assumptions!$B$5,"Handover","Recommissioning"))</f>
        <v>Recommissioning</v>
      </c>
      <c r="G533" s="6" t="str">
        <f t="shared" si="8"/>
        <v>2025-06</v>
      </c>
    </row>
    <row r="534" spans="1:7" x14ac:dyDescent="0.3">
      <c r="A534" s="3">
        <v>532</v>
      </c>
      <c r="B534" s="4">
        <v>45826</v>
      </c>
      <c r="C534" s="5">
        <v>0</v>
      </c>
      <c r="D534" s="5">
        <v>1670.54</v>
      </c>
      <c r="E534" s="5">
        <v>1009.74</v>
      </c>
      <c r="F534" s="3" t="str">
        <f>IF(A534&lt;=[1]Assumptions!$B$4,"Commissioning",IF(A534&lt;=[1]Assumptions!$B$5,"Handover","Recommissioning"))</f>
        <v>Recommissioning</v>
      </c>
      <c r="G534" s="6" t="str">
        <f t="shared" si="8"/>
        <v>2025-06</v>
      </c>
    </row>
    <row r="535" spans="1:7" x14ac:dyDescent="0.3">
      <c r="A535" s="3">
        <v>533</v>
      </c>
      <c r="B535" s="4">
        <v>45827</v>
      </c>
      <c r="C535" s="5">
        <v>0</v>
      </c>
      <c r="D535" s="5">
        <v>1521.41</v>
      </c>
      <c r="E535" s="5">
        <v>945.56</v>
      </c>
      <c r="F535" s="3" t="str">
        <f>IF(A535&lt;=[1]Assumptions!$B$4,"Commissioning",IF(A535&lt;=[1]Assumptions!$B$5,"Handover","Recommissioning"))</f>
        <v>Recommissioning</v>
      </c>
      <c r="G535" s="6" t="str">
        <f t="shared" si="8"/>
        <v>2025-06</v>
      </c>
    </row>
    <row r="536" spans="1:7" x14ac:dyDescent="0.3">
      <c r="A536" s="3">
        <v>534</v>
      </c>
      <c r="B536" s="4">
        <v>45828</v>
      </c>
      <c r="C536" s="5">
        <v>0</v>
      </c>
      <c r="D536" s="5">
        <v>1637.99</v>
      </c>
      <c r="E536" s="5">
        <v>998.71</v>
      </c>
      <c r="F536" s="3" t="str">
        <f>IF(A536&lt;=[1]Assumptions!$B$4,"Commissioning",IF(A536&lt;=[1]Assumptions!$B$5,"Handover","Recommissioning"))</f>
        <v>Recommissioning</v>
      </c>
      <c r="G536" s="6" t="str">
        <f t="shared" si="8"/>
        <v>2025-06</v>
      </c>
    </row>
    <row r="537" spans="1:7" x14ac:dyDescent="0.3">
      <c r="A537" s="3">
        <v>535</v>
      </c>
      <c r="B537" s="4">
        <v>45829</v>
      </c>
      <c r="C537" s="5">
        <v>0</v>
      </c>
      <c r="D537" s="5">
        <v>1557.35</v>
      </c>
      <c r="E537" s="5">
        <v>973.46</v>
      </c>
      <c r="F537" s="3" t="str">
        <f>IF(A537&lt;=[1]Assumptions!$B$4,"Commissioning",IF(A537&lt;=[1]Assumptions!$B$5,"Handover","Recommissioning"))</f>
        <v>Recommissioning</v>
      </c>
      <c r="G537" s="6" t="str">
        <f t="shared" si="8"/>
        <v>2025-06</v>
      </c>
    </row>
    <row r="538" spans="1:7" x14ac:dyDescent="0.3">
      <c r="A538" s="3">
        <v>536</v>
      </c>
      <c r="B538" s="4">
        <v>45830</v>
      </c>
      <c r="C538" s="5">
        <v>0</v>
      </c>
      <c r="D538" s="5">
        <v>1581.28</v>
      </c>
      <c r="E538" s="5">
        <v>950.86</v>
      </c>
      <c r="F538" s="3" t="str">
        <f>IF(A538&lt;=[1]Assumptions!$B$4,"Commissioning",IF(A538&lt;=[1]Assumptions!$B$5,"Handover","Recommissioning"))</f>
        <v>Recommissioning</v>
      </c>
      <c r="G538" s="6" t="str">
        <f t="shared" si="8"/>
        <v>2025-06</v>
      </c>
    </row>
    <row r="539" spans="1:7" x14ac:dyDescent="0.3">
      <c r="A539" s="3">
        <v>537</v>
      </c>
      <c r="B539" s="4">
        <v>45831</v>
      </c>
      <c r="C539" s="5">
        <v>0</v>
      </c>
      <c r="D539" s="5">
        <v>1637.99</v>
      </c>
      <c r="E539" s="5">
        <v>954.24</v>
      </c>
      <c r="F539" s="3" t="str">
        <f>IF(A539&lt;=[1]Assumptions!$B$4,"Commissioning",IF(A539&lt;=[1]Assumptions!$B$5,"Handover","Recommissioning"))</f>
        <v>Recommissioning</v>
      </c>
      <c r="G539" s="6" t="str">
        <f t="shared" si="8"/>
        <v>2025-06</v>
      </c>
    </row>
    <row r="540" spans="1:7" x14ac:dyDescent="0.3">
      <c r="A540" s="3">
        <v>538</v>
      </c>
      <c r="B540" s="4">
        <v>45832</v>
      </c>
      <c r="C540" s="5">
        <v>0</v>
      </c>
      <c r="D540" s="5">
        <v>1557.35</v>
      </c>
      <c r="E540" s="5">
        <v>963.33</v>
      </c>
      <c r="F540" s="3" t="str">
        <f>IF(A540&lt;=[1]Assumptions!$B$4,"Commissioning",IF(A540&lt;=[1]Assumptions!$B$5,"Handover","Recommissioning"))</f>
        <v>Recommissioning</v>
      </c>
      <c r="G540" s="6" t="str">
        <f t="shared" si="8"/>
        <v>2025-06</v>
      </c>
    </row>
    <row r="541" spans="1:7" x14ac:dyDescent="0.3">
      <c r="A541" s="3">
        <v>539</v>
      </c>
      <c r="B541" s="4">
        <v>45833</v>
      </c>
      <c r="C541" s="5">
        <v>0</v>
      </c>
      <c r="D541" s="5">
        <v>1581.28</v>
      </c>
      <c r="E541" s="5">
        <v>969.74</v>
      </c>
      <c r="F541" s="3" t="str">
        <f>IF(A541&lt;=[1]Assumptions!$B$4,"Commissioning",IF(A541&lt;=[1]Assumptions!$B$5,"Handover","Recommissioning"))</f>
        <v>Recommissioning</v>
      </c>
      <c r="G541" s="6" t="str">
        <f t="shared" si="8"/>
        <v>2025-06</v>
      </c>
    </row>
    <row r="542" spans="1:7" x14ac:dyDescent="0.3">
      <c r="A542" s="3">
        <v>540</v>
      </c>
      <c r="B542" s="4">
        <v>45834</v>
      </c>
      <c r="C542" s="5">
        <v>0</v>
      </c>
      <c r="D542" s="5">
        <v>1648.71</v>
      </c>
      <c r="E542" s="5">
        <v>966.92</v>
      </c>
      <c r="F542" s="3" t="str">
        <f>IF(A542&lt;=[1]Assumptions!$B$4,"Commissioning",IF(A542&lt;=[1]Assumptions!$B$5,"Handover","Recommissioning"))</f>
        <v>Recommissioning</v>
      </c>
      <c r="G542" s="6" t="str">
        <f t="shared" si="8"/>
        <v>2025-06</v>
      </c>
    </row>
  </sheetData>
  <mergeCells count="1">
    <mergeCell ref="A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 Zulhendri</dc:creator>
  <cp:lastModifiedBy>Feli Zulhendri</cp:lastModifiedBy>
  <dcterms:created xsi:type="dcterms:W3CDTF">2026-09-10T01:20:22Z</dcterms:created>
  <dcterms:modified xsi:type="dcterms:W3CDTF">2026-09-10T01:24:47Z</dcterms:modified>
</cp:coreProperties>
</file>